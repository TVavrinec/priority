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430"/>
  <workbookPr defaultThemeVersion="166925"/>
  <mc:AlternateContent xmlns:mc="http://schemas.openxmlformats.org/markup-compatibility/2006">
    <mc:Choice Requires="x15">
      <x15ac:absPath xmlns:x15ac="http://schemas.microsoft.com/office/spreadsheetml/2010/11/ac" url="C:\Users\Tomas_Vavrinec\Documents\GitHub\priority\"/>
    </mc:Choice>
  </mc:AlternateContent>
  <xr:revisionPtr revIDLastSave="0" documentId="13_ncr:1_{47D9F50F-49CB-4F40-A28B-E60F59E5F9B7}" xr6:coauthVersionLast="45" xr6:coauthVersionMax="45" xr10:uidLastSave="{00000000-0000-0000-0000-000000000000}"/>
  <bookViews>
    <workbookView xWindow="-120" yWindow="-120" windowWidth="29040" windowHeight="15990" xr2:uid="{D7D36B7A-9CEA-4288-8C8E-B13907822A48}"/>
  </bookViews>
  <sheets>
    <sheet name="Lis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C8" i="1" l="1"/>
  <c r="C7" i="1"/>
  <c r="D7" i="1"/>
  <c r="D27" i="1"/>
  <c r="D29" i="1"/>
  <c r="D31" i="1"/>
  <c r="D33" i="1"/>
  <c r="D35" i="1"/>
  <c r="D37" i="1"/>
  <c r="D39" i="1"/>
  <c r="D41" i="1"/>
  <c r="D43" i="1"/>
  <c r="D45" i="1"/>
  <c r="D47" i="1"/>
  <c r="D49" i="1"/>
  <c r="D51" i="1"/>
  <c r="D53" i="1"/>
  <c r="D55" i="1"/>
  <c r="D57" i="1"/>
  <c r="D59" i="1"/>
  <c r="D61" i="1"/>
  <c r="D63" i="1"/>
  <c r="D65" i="1"/>
  <c r="D67" i="1"/>
  <c r="D69" i="1"/>
  <c r="D71" i="1"/>
  <c r="D73" i="1"/>
  <c r="D75" i="1"/>
  <c r="D77" i="1"/>
  <c r="D79" i="1"/>
  <c r="D81" i="1"/>
  <c r="D83" i="1"/>
  <c r="D85" i="1"/>
  <c r="D87" i="1"/>
  <c r="D89" i="1"/>
  <c r="D91" i="1"/>
  <c r="D93" i="1"/>
  <c r="D95" i="1"/>
  <c r="D97" i="1"/>
  <c r="D99" i="1"/>
  <c r="D25" i="1"/>
  <c r="D22" i="1"/>
  <c r="D20" i="1"/>
  <c r="D5" i="1"/>
  <c r="D10" i="1"/>
  <c r="D12" i="1"/>
  <c r="D14" i="1"/>
  <c r="D16" i="1"/>
  <c r="D1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27" i="1" l="1"/>
  <c r="C28" i="1"/>
  <c r="C25" i="1" l="1"/>
  <c r="C26" i="1"/>
  <c r="C20" i="1"/>
  <c r="D3" i="1" l="1"/>
  <c r="C4" i="1"/>
  <c r="C5" i="1"/>
  <c r="C6" i="1"/>
  <c r="C9" i="1"/>
  <c r="C10" i="1"/>
  <c r="C11" i="1"/>
  <c r="C12" i="1"/>
  <c r="C13" i="1"/>
  <c r="C14" i="1"/>
  <c r="C15" i="1"/>
  <c r="C16" i="1"/>
  <c r="C17" i="1"/>
  <c r="C18" i="1"/>
  <c r="C19" i="1"/>
  <c r="C21" i="1"/>
  <c r="C22" i="1"/>
  <c r="C23" i="1"/>
  <c r="C24" i="1"/>
  <c r="C3" i="1"/>
  <c r="B105" i="1" l="1"/>
  <c r="C105" i="1"/>
  <c r="B103" i="1"/>
  <c r="C103" i="1"/>
  <c r="A105" i="1" l="1"/>
  <c r="A103" i="1"/>
</calcChain>
</file>

<file path=xl/sharedStrings.xml><?xml version="1.0" encoding="utf-8"?>
<sst xmlns="http://schemas.openxmlformats.org/spreadsheetml/2006/main" count="92" uniqueCount="58">
  <si>
    <t>úkol</t>
  </si>
  <si>
    <t>obtížnost (časová)</t>
  </si>
  <si>
    <t>slib</t>
  </si>
  <si>
    <t>výroba</t>
  </si>
  <si>
    <t>škola</t>
  </si>
  <si>
    <t>SOČ</t>
  </si>
  <si>
    <t>RP</t>
  </si>
  <si>
    <t>RPS</t>
  </si>
  <si>
    <t>RS</t>
  </si>
  <si>
    <t>3D model</t>
  </si>
  <si>
    <t>JLCPCB</t>
  </si>
  <si>
    <t>ostatní</t>
  </si>
  <si>
    <t>skupuině</t>
  </si>
  <si>
    <t>mezi řečí</t>
  </si>
  <si>
    <t>Praha</t>
  </si>
  <si>
    <t>robotárna</t>
  </si>
  <si>
    <t>vývoj FirstBota</t>
  </si>
  <si>
    <t>vývoj SchoolBota</t>
  </si>
  <si>
    <t>vývoj BlackBoxu</t>
  </si>
  <si>
    <t>opravy desek děckám</t>
  </si>
  <si>
    <t>Martin. Konzultace</t>
  </si>
  <si>
    <t>analogové encodery</t>
  </si>
  <si>
    <t>Smolda</t>
  </si>
  <si>
    <t>vyměna BIOSu</t>
  </si>
  <si>
    <t>deska</t>
  </si>
  <si>
    <t>doladit mechaniku</t>
  </si>
  <si>
    <t>otestovat mecha</t>
  </si>
  <si>
    <t>nahradit Q6 na RB3202 (opravit dráhu START_GATE)</t>
  </si>
  <si>
    <t>doladit čtení</t>
  </si>
  <si>
    <t>tolerance</t>
  </si>
  <si>
    <t>Toy Cleanup</t>
  </si>
  <si>
    <t>Jirka</t>
  </si>
  <si>
    <t>Burda</t>
  </si>
  <si>
    <t>duležité</t>
  </si>
  <si>
    <t>Youtube tutorialy</t>
  </si>
  <si>
    <t xml:space="preserve">Eagle </t>
  </si>
  <si>
    <t>Solid ozubení</t>
  </si>
  <si>
    <t>fusion</t>
  </si>
  <si>
    <t>Ja</t>
  </si>
  <si>
    <t>výpočty zviraznování</t>
  </si>
  <si>
    <t>minymální prioryta</t>
  </si>
  <si>
    <t>maximální prioryta</t>
  </si>
  <si>
    <t>priorita</t>
  </si>
  <si>
    <t>deadline</t>
  </si>
  <si>
    <t>kroužky</t>
  </si>
  <si>
    <t>"střed"</t>
  </si>
  <si>
    <t>LX-15d</t>
  </si>
  <si>
    <t>vyměna tranzistorů</t>
  </si>
  <si>
    <t>deska na krokáče</t>
  </si>
  <si>
    <t xml:space="preserve"> </t>
  </si>
  <si>
    <t>Ruka</t>
  </si>
  <si>
    <t>poznamka</t>
  </si>
  <si>
    <t>opravit postprocesor, nastavení CAMu, Honzuv postprocesor, opravit tvrzení o neexistenci solidáckých proměných</t>
  </si>
  <si>
    <t>určit styl pohonu</t>
  </si>
  <si>
    <t>Mechanárium</t>
  </si>
  <si>
    <t>text COČ</t>
  </si>
  <si>
    <t>MotorBoard</t>
  </si>
  <si>
    <t>prostě něco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</si>
</sst>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Calibri"/>
      <family val="2"/>
      <scheme val="minor"/>
    </font>
    <font>
      <sz val="20"/>
      <color theme="1"/>
      <name val="Calibri"/>
      <family val="2"/>
      <scheme val="minor"/>
    </font>
    <font>
      <sz val="11"/>
      <color theme="1"/>
      <name val="Calibri"/>
      <family val="2"/>
      <charset val="238"/>
      <scheme val="minor"/>
    </font>
    <font>
      <sz val="10"/>
      <color theme="1"/>
      <name val="Calibri"/>
      <family val="2"/>
      <scheme val="minor"/>
    </font>
  </fonts>
  <fills count="2">
    <fill>
      <patternFill patternType="none"/>
    </fill>
    <fill>
      <patternFill patternType="gray125"/>
    </fill>
  </fills>
  <borders count="1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cellStyleXfs>
  <cellXfs count="65">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2" fontId="0" fillId="0" borderId="0" xfId="0" applyNumberFormat="1"/>
    <xf numFmtId="3" fontId="0" fillId="0" borderId="0" xfId="0" applyNumberFormat="1"/>
    <xf numFmtId="0" fontId="0" fillId="0" borderId="2" xfId="0" applyBorder="1" applyAlignment="1">
      <alignment vertical="center"/>
    </xf>
    <xf numFmtId="0" fontId="0" fillId="0" borderId="2" xfId="0" applyBorder="1"/>
    <xf numFmtId="0" fontId="0" fillId="0" borderId="5" xfId="0" applyBorder="1" applyAlignment="1">
      <alignment vertical="center"/>
    </xf>
    <xf numFmtId="0" fontId="0" fillId="0" borderId="5" xfId="0" applyBorder="1"/>
    <xf numFmtId="0" fontId="0" fillId="0" borderId="0" xfId="0" applyBorder="1" applyAlignment="1">
      <alignment vertical="center"/>
    </xf>
    <xf numFmtId="0" fontId="0" fillId="0" borderId="2" xfId="0" applyBorder="1" applyAlignment="1">
      <alignment vertical="center" wrapText="1"/>
    </xf>
    <xf numFmtId="0" fontId="2" fillId="0" borderId="2" xfId="0" applyFont="1" applyBorder="1" applyAlignment="1">
      <alignment vertical="center"/>
    </xf>
    <xf numFmtId="0" fontId="0" fillId="0" borderId="8" xfId="0" applyBorder="1" applyAlignment="1">
      <alignment horizontal="center" vertical="center" wrapText="1"/>
    </xf>
    <xf numFmtId="0" fontId="3" fillId="0" borderId="7" xfId="0" applyFont="1" applyBorder="1" applyAlignment="1">
      <alignment horizontal="center" vertical="center" textRotation="180" wrapText="1"/>
    </xf>
    <xf numFmtId="0" fontId="0" fillId="0" borderId="0" xfId="0" applyBorder="1" applyAlignment="1">
      <alignment horizontal="center" vertical="center" textRotation="180" wrapText="1"/>
    </xf>
    <xf numFmtId="0" fontId="0" fillId="0" borderId="8" xfId="0" applyBorder="1" applyAlignment="1">
      <alignment horizontal="center" vertical="center" textRotation="180" wrapText="1"/>
    </xf>
    <xf numFmtId="0" fontId="0" fillId="0" borderId="7" xfId="0" applyBorder="1" applyAlignment="1">
      <alignment horizontal="center" vertical="center" textRotation="180" wrapText="1"/>
    </xf>
    <xf numFmtId="0" fontId="0" fillId="0" borderId="7" xfId="0" applyBorder="1" applyAlignment="1">
      <alignment horizontal="center" vertical="center" wrapText="1"/>
    </xf>
    <xf numFmtId="0" fontId="0" fillId="0" borderId="2" xfId="0" applyBorder="1" applyAlignment="1">
      <alignment horizontal="center" vertical="center"/>
    </xf>
    <xf numFmtId="0" fontId="0" fillId="0" borderId="1" xfId="0" applyBorder="1" applyAlignment="1">
      <alignment horizontal="center" vertical="center"/>
    </xf>
    <xf numFmtId="3" fontId="0" fillId="0" borderId="3" xfId="0" applyNumberFormat="1" applyBorder="1" applyAlignment="1">
      <alignment horizontal="center" vertical="center"/>
    </xf>
    <xf numFmtId="3" fontId="0" fillId="0" borderId="0" xfId="0" applyNumberFormat="1" applyAlignment="1">
      <alignment horizontal="center" vertical="center"/>
    </xf>
    <xf numFmtId="3" fontId="0" fillId="0" borderId="8" xfId="0" applyNumberFormat="1" applyBorder="1" applyAlignment="1">
      <alignment horizontal="center" vertical="center"/>
    </xf>
    <xf numFmtId="3" fontId="0" fillId="0" borderId="6" xfId="0" applyNumberFormat="1" applyBorder="1" applyAlignment="1">
      <alignment horizontal="center" vertical="center"/>
    </xf>
    <xf numFmtId="0" fontId="1" fillId="0" borderId="9" xfId="0" applyFont="1" applyBorder="1" applyAlignment="1">
      <alignment horizontal="center"/>
    </xf>
    <xf numFmtId="0" fontId="0" fillId="0" borderId="10" xfId="0" applyBorder="1" applyAlignment="1">
      <alignment horizontal="center" vertical="center"/>
    </xf>
    <xf numFmtId="3" fontId="0" fillId="0" borderId="10" xfId="0" applyNumberFormat="1" applyBorder="1" applyAlignment="1">
      <alignment horizontal="center" vertical="center"/>
    </xf>
    <xf numFmtId="4" fontId="0" fillId="0" borderId="0" xfId="0" applyNumberFormat="1"/>
    <xf numFmtId="3" fontId="0" fillId="0" borderId="2" xfId="0" applyNumberFormat="1" applyBorder="1" applyAlignment="1">
      <alignment horizontal="center" vertical="center"/>
    </xf>
    <xf numFmtId="3" fontId="0" fillId="0" borderId="1" xfId="0" applyNumberFormat="1" applyBorder="1" applyAlignment="1">
      <alignment horizontal="center" vertical="center"/>
    </xf>
    <xf numFmtId="3" fontId="0" fillId="0" borderId="4" xfId="0" applyNumberFormat="1" applyBorder="1" applyAlignment="1">
      <alignment horizontal="center" vertical="center"/>
    </xf>
    <xf numFmtId="3" fontId="0" fillId="0" borderId="5" xfId="0" applyNumberFormat="1" applyBorder="1" applyAlignment="1">
      <alignment horizontal="center" vertical="center"/>
    </xf>
    <xf numFmtId="3" fontId="0" fillId="0" borderId="9" xfId="0" applyNumberFormat="1" applyBorder="1" applyAlignment="1">
      <alignment horizontal="center" vertical="center"/>
    </xf>
    <xf numFmtId="3" fontId="0" fillId="0" borderId="11" xfId="0" applyNumberFormat="1" applyBorder="1" applyAlignment="1">
      <alignment horizontal="center" vertical="center"/>
    </xf>
    <xf numFmtId="3" fontId="0" fillId="0" borderId="7" xfId="0" applyNumberFormat="1" applyBorder="1" applyAlignment="1">
      <alignment horizontal="center" vertical="center"/>
    </xf>
    <xf numFmtId="3" fontId="0" fillId="0" borderId="0" xfId="0" applyNumberFormat="1" applyBorder="1" applyAlignment="1">
      <alignment horizontal="center" vertical="center"/>
    </xf>
    <xf numFmtId="0" fontId="0" fillId="0" borderId="3" xfId="0" applyBorder="1" applyAlignment="1">
      <alignment vertical="center"/>
    </xf>
    <xf numFmtId="0" fontId="0" fillId="0" borderId="8" xfId="0" applyBorder="1" applyAlignment="1">
      <alignment vertical="center"/>
    </xf>
    <xf numFmtId="3" fontId="0" fillId="0" borderId="8"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0" borderId="12" xfId="0" applyNumberFormat="1" applyBorder="1" applyAlignment="1">
      <alignment horizontal="center" vertical="center"/>
    </xf>
    <xf numFmtId="0" fontId="0" fillId="0" borderId="0" xfId="0" applyBorder="1" applyAlignment="1">
      <alignment horizontal="center" vertical="center"/>
    </xf>
    <xf numFmtId="0" fontId="0" fillId="0" borderId="5" xfId="0" applyBorder="1" applyAlignment="1">
      <alignment horizontal="center" vertical="center"/>
    </xf>
    <xf numFmtId="3" fontId="0" fillId="0" borderId="1" xfId="0" applyNumberFormat="1" applyBorder="1" applyAlignment="1">
      <alignment horizontal="center" vertical="center"/>
    </xf>
    <xf numFmtId="3" fontId="0" fillId="0" borderId="7" xfId="0" applyNumberFormat="1" applyBorder="1" applyAlignment="1">
      <alignment horizontal="center" vertical="center"/>
    </xf>
    <xf numFmtId="3" fontId="0" fillId="0" borderId="2" xfId="0" applyNumberFormat="1" applyBorder="1" applyAlignment="1">
      <alignment horizontal="center" vertical="center"/>
    </xf>
    <xf numFmtId="3" fontId="0" fillId="0" borderId="0" xfId="0" applyNumberFormat="1" applyBorder="1" applyAlignment="1">
      <alignment horizontal="center" vertical="center"/>
    </xf>
    <xf numFmtId="164" fontId="0" fillId="0" borderId="2" xfId="0" applyNumberFormat="1" applyBorder="1" applyAlignment="1">
      <alignment horizontal="center" vertical="center"/>
    </xf>
    <xf numFmtId="164" fontId="0" fillId="0" borderId="5" xfId="0" applyNumberFormat="1"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center" vertical="center"/>
    </xf>
    <xf numFmtId="3" fontId="0" fillId="0" borderId="4" xfId="0" applyNumberFormat="1" applyBorder="1" applyAlignment="1">
      <alignment horizontal="center" vertical="center"/>
    </xf>
    <xf numFmtId="3" fontId="0" fillId="0" borderId="5" xfId="0" applyNumberFormat="1" applyBorder="1" applyAlignment="1">
      <alignment horizontal="center" vertical="center"/>
    </xf>
    <xf numFmtId="3" fontId="0" fillId="0" borderId="9" xfId="0" applyNumberFormat="1" applyBorder="1" applyAlignment="1">
      <alignment horizontal="center" vertical="center"/>
    </xf>
    <xf numFmtId="3" fontId="0" fillId="0" borderId="11" xfId="0" applyNumberFormat="1" applyBorder="1" applyAlignment="1">
      <alignment horizontal="center" vertical="center"/>
    </xf>
    <xf numFmtId="0" fontId="0" fillId="0" borderId="0" xfId="0" applyAlignment="1">
      <alignment horizontal="center"/>
    </xf>
    <xf numFmtId="4" fontId="0" fillId="0" borderId="0" xfId="0" applyNumberFormat="1" applyAlignment="1">
      <alignment horizontal="center"/>
    </xf>
    <xf numFmtId="164" fontId="0" fillId="0" borderId="0" xfId="0" applyNumberFormat="1" applyBorder="1" applyAlignment="1">
      <alignment horizontal="center" vertical="center"/>
    </xf>
    <xf numFmtId="0" fontId="0" fillId="0" borderId="7" xfId="0"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center" vertical="center"/>
    </xf>
    <xf numFmtId="0" fontId="1" fillId="0" borderId="3" xfId="0" applyFont="1" applyBorder="1" applyAlignment="1">
      <alignment horizontal="center" vertical="center"/>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1" fillId="0" borderId="2" xfId="0" applyFont="1" applyBorder="1" applyAlignment="1">
      <alignment horizontal="center" vertical="center"/>
    </xf>
  </cellXfs>
  <cellStyles count="1">
    <cellStyle name="Normální" xfId="0" builtinId="0"/>
  </cellStyles>
  <dxfs count="0"/>
  <tableStyles count="0" defaultTableStyle="TableStyleMedium2" defaultPivotStyle="PivotStyleLight16"/>
  <colors>
    <mruColors>
      <color rgb="FFFF0000"/>
      <color rgb="FFFFFF00"/>
      <color rgb="FF00FF00"/>
      <color rgb="FF00FFFF"/>
      <color rgb="FFFA0000"/>
      <color rgb="FF32B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EB525-A7D0-4EB5-A469-CD7E4DF90C72}">
  <dimension ref="A1:BD105"/>
  <sheetViews>
    <sheetView tabSelected="1" zoomScale="70" zoomScaleNormal="70" workbookViewId="0">
      <selection activeCell="S34" sqref="S34"/>
    </sheetView>
  </sheetViews>
  <sheetFormatPr defaultRowHeight="15" x14ac:dyDescent="0.25"/>
  <cols>
    <col min="1" max="1" width="30.7109375" customWidth="1"/>
    <col min="2" max="2" width="28.5703125" customWidth="1"/>
    <col min="3" max="4" width="7.7109375" customWidth="1"/>
    <col min="5" max="5" width="10.7109375" hidden="1" customWidth="1"/>
    <col min="6" max="6" width="18.7109375" hidden="1" customWidth="1"/>
    <col min="7" max="34" width="5.7109375" customWidth="1"/>
    <col min="36" max="36" width="0" hidden="1" customWidth="1"/>
    <col min="37" max="40" width="9.140625" hidden="1" customWidth="1"/>
    <col min="41" max="41" width="147" customWidth="1"/>
  </cols>
  <sheetData>
    <row r="1" spans="1:56" ht="24.95" customHeight="1" thickBot="1" x14ac:dyDescent="0.45">
      <c r="A1" s="2" t="s">
        <v>0</v>
      </c>
      <c r="B1" s="2"/>
      <c r="C1" s="60" t="s">
        <v>42</v>
      </c>
      <c r="D1" s="64"/>
      <c r="E1" s="64" t="s">
        <v>1</v>
      </c>
      <c r="F1" s="64"/>
      <c r="G1" s="60" t="s">
        <v>2</v>
      </c>
      <c r="H1" s="64"/>
      <c r="I1" s="64"/>
      <c r="J1" s="64"/>
      <c r="K1" s="64"/>
      <c r="L1" s="64"/>
      <c r="M1" s="64"/>
      <c r="N1" s="64"/>
      <c r="O1" s="64"/>
      <c r="P1" s="64"/>
      <c r="Q1" s="61"/>
      <c r="R1" s="60" t="s">
        <v>43</v>
      </c>
      <c r="S1" s="64"/>
      <c r="T1" s="61"/>
      <c r="U1" s="60" t="s">
        <v>3</v>
      </c>
      <c r="V1" s="61"/>
      <c r="W1" s="60" t="s">
        <v>4</v>
      </c>
      <c r="X1" s="61"/>
      <c r="Y1" s="60" t="s">
        <v>44</v>
      </c>
      <c r="Z1" s="64"/>
      <c r="AA1" s="64"/>
      <c r="AB1" s="64"/>
      <c r="AC1" s="64"/>
      <c r="AD1" s="64"/>
      <c r="AE1" s="64"/>
      <c r="AF1" s="61"/>
      <c r="AG1" s="60" t="s">
        <v>5</v>
      </c>
      <c r="AH1" s="61"/>
      <c r="AI1" s="24" t="s">
        <v>38</v>
      </c>
      <c r="AO1" t="s">
        <v>51</v>
      </c>
    </row>
    <row r="2" spans="1:56" s="1" customFormat="1" ht="57" customHeight="1" thickBot="1" x14ac:dyDescent="0.3">
      <c r="C2" s="19"/>
      <c r="D2" s="18"/>
      <c r="E2" s="18"/>
      <c r="F2" s="18"/>
      <c r="G2" s="62" t="s">
        <v>12</v>
      </c>
      <c r="H2" s="59"/>
      <c r="I2" s="59" t="s">
        <v>33</v>
      </c>
      <c r="J2" s="59"/>
      <c r="K2" s="59" t="s">
        <v>13</v>
      </c>
      <c r="L2" s="59"/>
      <c r="M2" s="59" t="s">
        <v>31</v>
      </c>
      <c r="N2" s="59"/>
      <c r="O2" s="59" t="s">
        <v>32</v>
      </c>
      <c r="P2" s="59"/>
      <c r="Q2" s="12"/>
      <c r="R2" s="13" t="s">
        <v>14</v>
      </c>
      <c r="S2" s="14" t="s">
        <v>57</v>
      </c>
      <c r="T2" s="15" t="s">
        <v>15</v>
      </c>
      <c r="U2" s="16" t="s">
        <v>10</v>
      </c>
      <c r="V2" s="15" t="s">
        <v>11</v>
      </c>
      <c r="W2" s="17"/>
      <c r="X2" s="12"/>
      <c r="Y2" s="62" t="s">
        <v>6</v>
      </c>
      <c r="Z2" s="59"/>
      <c r="AA2" s="59" t="s">
        <v>7</v>
      </c>
      <c r="AB2" s="59"/>
      <c r="AC2" s="59" t="s">
        <v>8</v>
      </c>
      <c r="AD2" s="59"/>
      <c r="AE2" s="59" t="s">
        <v>9</v>
      </c>
      <c r="AF2" s="63"/>
      <c r="AG2" s="62"/>
      <c r="AH2" s="63"/>
      <c r="AI2" s="25"/>
    </row>
    <row r="3" spans="1:56" ht="30" customHeight="1" thickBot="1" x14ac:dyDescent="0.3">
      <c r="A3" s="49" t="s">
        <v>16</v>
      </c>
      <c r="B3" s="5" t="s">
        <v>24</v>
      </c>
      <c r="C3" s="39">
        <f>H3+J3+(L3/10)+N3+P3+Q3+R3+S3+T3+U3+V3+X3+Z3+AB3+AD3+AF3+AH3+AI3</f>
        <v>1</v>
      </c>
      <c r="D3" s="47">
        <f>SUM(G3:AI4)-K3-L3-L4+(K3/10)+(L3/10)+(L4/10)</f>
        <v>2</v>
      </c>
      <c r="E3" s="18"/>
      <c r="F3" s="18"/>
      <c r="G3" s="43"/>
      <c r="H3" s="28"/>
      <c r="I3" s="45"/>
      <c r="J3" s="28"/>
      <c r="K3" s="45"/>
      <c r="L3" s="28"/>
      <c r="M3" s="45"/>
      <c r="N3" s="28"/>
      <c r="O3" s="45"/>
      <c r="P3" s="28"/>
      <c r="Q3" s="20"/>
      <c r="R3" s="29"/>
      <c r="S3" s="28"/>
      <c r="T3" s="20"/>
      <c r="U3" s="29"/>
      <c r="V3" s="20"/>
      <c r="W3" s="43"/>
      <c r="X3" s="20"/>
      <c r="Y3" s="43"/>
      <c r="Z3" s="28"/>
      <c r="AA3" s="45"/>
      <c r="AB3" s="28"/>
      <c r="AC3" s="45"/>
      <c r="AD3" s="28"/>
      <c r="AE3" s="45"/>
      <c r="AF3" s="20"/>
      <c r="AG3" s="43">
        <v>1</v>
      </c>
      <c r="AH3" s="20">
        <v>1</v>
      </c>
      <c r="AI3" s="32"/>
      <c r="AJ3" s="21"/>
      <c r="AK3" s="21"/>
      <c r="AL3" s="21"/>
      <c r="AM3" s="21"/>
      <c r="AN3" s="21"/>
      <c r="AO3" s="21"/>
      <c r="AP3" s="21"/>
      <c r="AQ3" s="21"/>
      <c r="AR3" s="21"/>
      <c r="AS3" s="21"/>
      <c r="AT3" s="21"/>
      <c r="AU3" s="21"/>
      <c r="AV3" s="21"/>
      <c r="AW3" s="21"/>
      <c r="AX3" s="21"/>
      <c r="AY3" s="21"/>
      <c r="AZ3" s="3"/>
      <c r="BA3" s="3"/>
      <c r="BB3" s="3"/>
      <c r="BC3" s="3"/>
      <c r="BD3" s="3"/>
    </row>
    <row r="4" spans="1:56" ht="30" customHeight="1" thickBot="1" x14ac:dyDescent="0.3">
      <c r="A4" s="58"/>
      <c r="B4" s="9"/>
      <c r="C4" s="39">
        <f t="shared" ref="C4:C68" si="0">H4+J4+(L4/10)+N4+P4+Q4+R4+S4+T4+U4+V4+X4+Z4+AB4+AD4+AF4+AH4+AI4</f>
        <v>0</v>
      </c>
      <c r="D4" s="48"/>
      <c r="E4" s="41"/>
      <c r="F4" s="41"/>
      <c r="G4" s="44"/>
      <c r="H4" s="35"/>
      <c r="I4" s="46"/>
      <c r="J4" s="35"/>
      <c r="K4" s="46"/>
      <c r="L4" s="35"/>
      <c r="M4" s="46"/>
      <c r="N4" s="35"/>
      <c r="O4" s="46"/>
      <c r="P4" s="35"/>
      <c r="Q4" s="22"/>
      <c r="R4" s="34"/>
      <c r="S4" s="35"/>
      <c r="T4" s="22"/>
      <c r="U4" s="34"/>
      <c r="V4" s="22"/>
      <c r="W4" s="51"/>
      <c r="X4" s="22"/>
      <c r="Y4" s="44"/>
      <c r="Z4" s="35"/>
      <c r="AA4" s="46"/>
      <c r="AB4" s="35"/>
      <c r="AC4" s="46"/>
      <c r="AD4" s="35"/>
      <c r="AE4" s="46"/>
      <c r="AF4" s="22"/>
      <c r="AG4" s="44"/>
      <c r="AH4" s="22"/>
      <c r="AI4" s="33"/>
      <c r="AJ4" s="21"/>
      <c r="AK4" s="21"/>
      <c r="AL4" s="21"/>
      <c r="AM4" s="21"/>
      <c r="AN4" s="21"/>
      <c r="AO4" s="21"/>
      <c r="AP4" s="21"/>
      <c r="AQ4" s="21"/>
      <c r="AR4" s="21"/>
      <c r="AS4" s="21"/>
      <c r="AT4" s="21"/>
      <c r="AU4" s="21"/>
      <c r="AV4" s="21"/>
      <c r="AW4" s="21"/>
      <c r="AX4" s="21"/>
      <c r="AY4" s="21"/>
      <c r="AZ4" s="3"/>
      <c r="BA4" s="3"/>
      <c r="BB4" s="3"/>
      <c r="BC4" s="3"/>
      <c r="BD4" s="3"/>
    </row>
    <row r="5" spans="1:56" ht="30" customHeight="1" thickBot="1" x14ac:dyDescent="0.3">
      <c r="A5" s="49" t="s">
        <v>17</v>
      </c>
      <c r="B5" s="5" t="s">
        <v>25</v>
      </c>
      <c r="C5" s="39">
        <f t="shared" si="0"/>
        <v>5</v>
      </c>
      <c r="D5" s="47">
        <f t="shared" ref="D5" si="1">SUM(G5:AI6)-K5-L5-L6+(K5/10)+(L5/10)+(L6/10)</f>
        <v>5</v>
      </c>
      <c r="E5" s="18"/>
      <c r="F5" s="18"/>
      <c r="G5" s="43"/>
      <c r="H5" s="28"/>
      <c r="I5" s="45"/>
      <c r="J5" s="28"/>
      <c r="K5" s="45"/>
      <c r="L5" s="28"/>
      <c r="M5" s="45"/>
      <c r="N5" s="28"/>
      <c r="O5" s="45"/>
      <c r="P5" s="28">
        <v>1</v>
      </c>
      <c r="Q5" s="20"/>
      <c r="R5" s="29"/>
      <c r="S5" s="28"/>
      <c r="T5" s="20"/>
      <c r="U5" s="29"/>
      <c r="V5" s="20"/>
      <c r="W5" s="43"/>
      <c r="X5" s="20"/>
      <c r="Y5" s="43"/>
      <c r="Z5" s="28"/>
      <c r="AA5" s="45"/>
      <c r="AB5" s="28">
        <v>1</v>
      </c>
      <c r="AC5" s="45"/>
      <c r="AD5" s="28">
        <v>1</v>
      </c>
      <c r="AE5" s="45"/>
      <c r="AF5" s="20"/>
      <c r="AG5" s="43"/>
      <c r="AH5" s="20">
        <v>1</v>
      </c>
      <c r="AI5" s="32">
        <v>1</v>
      </c>
      <c r="AJ5" s="21"/>
      <c r="AK5" s="21"/>
      <c r="AL5" s="21"/>
      <c r="AM5" s="21"/>
      <c r="AN5" s="21"/>
      <c r="AO5" s="21"/>
      <c r="AP5" s="21"/>
      <c r="AQ5" s="21"/>
      <c r="AR5" s="21"/>
      <c r="AS5" s="21"/>
      <c r="AT5" s="21"/>
      <c r="AU5" s="21"/>
      <c r="AV5" s="21"/>
      <c r="AW5" s="21"/>
      <c r="AX5" s="21"/>
      <c r="AY5" s="21"/>
      <c r="AZ5" s="3"/>
      <c r="BA5" s="3"/>
      <c r="BB5" s="3"/>
      <c r="BC5" s="3"/>
      <c r="BD5" s="3"/>
    </row>
    <row r="6" spans="1:56" ht="30" customHeight="1" thickBot="1" x14ac:dyDescent="0.3">
      <c r="A6" s="50"/>
      <c r="B6" s="7"/>
      <c r="C6" s="39">
        <f t="shared" si="0"/>
        <v>0</v>
      </c>
      <c r="D6" s="48"/>
      <c r="E6" s="42"/>
      <c r="F6" s="42"/>
      <c r="G6" s="51"/>
      <c r="H6" s="31"/>
      <c r="I6" s="52"/>
      <c r="J6" s="31"/>
      <c r="K6" s="52"/>
      <c r="L6" s="31"/>
      <c r="M6" s="52"/>
      <c r="N6" s="31"/>
      <c r="O6" s="52"/>
      <c r="P6" s="31"/>
      <c r="Q6" s="23"/>
      <c r="R6" s="30"/>
      <c r="S6" s="31"/>
      <c r="T6" s="23"/>
      <c r="U6" s="30"/>
      <c r="V6" s="23"/>
      <c r="W6" s="51"/>
      <c r="X6" s="23"/>
      <c r="Y6" s="51"/>
      <c r="Z6" s="31"/>
      <c r="AA6" s="52"/>
      <c r="AB6" s="31"/>
      <c r="AC6" s="52"/>
      <c r="AD6" s="31"/>
      <c r="AE6" s="52"/>
      <c r="AF6" s="23"/>
      <c r="AG6" s="51"/>
      <c r="AH6" s="23"/>
      <c r="AI6" s="33"/>
      <c r="AJ6" s="21"/>
      <c r="AK6" s="21"/>
      <c r="AL6" s="21"/>
      <c r="AM6" s="21"/>
      <c r="AN6" s="21"/>
      <c r="AO6" s="21"/>
      <c r="AP6" s="21"/>
      <c r="AQ6" s="21"/>
      <c r="AR6" s="21"/>
      <c r="AS6" s="21"/>
      <c r="AT6" s="21"/>
      <c r="AU6" s="21"/>
      <c r="AV6" s="21"/>
      <c r="AW6" s="21"/>
      <c r="AX6" s="21"/>
      <c r="AY6" s="21"/>
      <c r="AZ6" s="3"/>
      <c r="BA6" s="3"/>
      <c r="BB6" s="3"/>
      <c r="BC6" s="3"/>
      <c r="BD6" s="3"/>
    </row>
    <row r="7" spans="1:56" ht="30" customHeight="1" thickBot="1" x14ac:dyDescent="0.3">
      <c r="A7" s="49" t="s">
        <v>18</v>
      </c>
      <c r="B7" s="5" t="s">
        <v>26</v>
      </c>
      <c r="C7" s="39">
        <f>H7+J7+(L7/10)+N7+P7+Q7+R7+S7+T7+U7+V7+X7+Z7+AB7+AD7+AF7+AH7+AI7</f>
        <v>5</v>
      </c>
      <c r="D7" s="47">
        <f>SUM(G7:AI9)-K7-L7-L9+(K7/10)+(L7/10)+(L9/10)-L8+(L8/10)</f>
        <v>9.3000000000000007</v>
      </c>
      <c r="E7" s="18"/>
      <c r="F7" s="18"/>
      <c r="G7" s="43"/>
      <c r="H7" s="28"/>
      <c r="I7" s="45"/>
      <c r="J7" s="28">
        <v>1</v>
      </c>
      <c r="K7" s="45"/>
      <c r="L7" s="28"/>
      <c r="M7" s="45"/>
      <c r="N7" s="28"/>
      <c r="O7" s="45"/>
      <c r="P7" s="28"/>
      <c r="Q7" s="20"/>
      <c r="R7" s="29"/>
      <c r="S7" s="28"/>
      <c r="T7" s="20">
        <v>1</v>
      </c>
      <c r="U7" s="29"/>
      <c r="V7" s="20"/>
      <c r="W7" s="43"/>
      <c r="X7" s="20"/>
      <c r="Y7" s="43"/>
      <c r="Z7" s="28">
        <v>1</v>
      </c>
      <c r="AA7" s="45"/>
      <c r="AB7" s="28"/>
      <c r="AC7" s="45"/>
      <c r="AD7" s="28"/>
      <c r="AE7" s="45"/>
      <c r="AF7" s="20"/>
      <c r="AG7" s="43"/>
      <c r="AH7" s="20">
        <v>1</v>
      </c>
      <c r="AI7" s="32">
        <v>1</v>
      </c>
      <c r="AJ7" s="21"/>
      <c r="AK7" s="21"/>
      <c r="AL7" s="21"/>
      <c r="AM7" s="21"/>
      <c r="AN7" s="21"/>
      <c r="AO7" s="21"/>
      <c r="AP7" s="21"/>
      <c r="AQ7" s="21"/>
      <c r="AR7" s="21"/>
      <c r="AS7" s="21"/>
      <c r="AT7" s="21"/>
      <c r="AU7" s="21"/>
      <c r="AV7" s="21"/>
      <c r="AW7" s="21"/>
      <c r="AX7" s="21"/>
      <c r="AY7" s="21"/>
      <c r="AZ7" s="3"/>
      <c r="BA7" s="3"/>
      <c r="BB7" s="3"/>
      <c r="BC7" s="3"/>
      <c r="BD7" s="3"/>
    </row>
    <row r="8" spans="1:56" ht="30" customHeight="1" thickBot="1" x14ac:dyDescent="0.3">
      <c r="A8" s="58"/>
      <c r="B8" s="9" t="s">
        <v>56</v>
      </c>
      <c r="C8" s="39">
        <f>H8+J8+(L8/10)+N8+P8+Q8+R8+S8+T8+U8+V8+X8+Z8+AB8+AD8+AF8+AH8+AI8</f>
        <v>4.3</v>
      </c>
      <c r="D8" s="57"/>
      <c r="E8" s="41"/>
      <c r="F8" s="41"/>
      <c r="G8" s="44"/>
      <c r="H8" s="35"/>
      <c r="I8" s="46"/>
      <c r="J8" s="35"/>
      <c r="K8" s="46"/>
      <c r="L8" s="35">
        <v>3</v>
      </c>
      <c r="M8" s="46"/>
      <c r="N8" s="35"/>
      <c r="O8" s="46"/>
      <c r="P8" s="35">
        <v>1</v>
      </c>
      <c r="Q8" s="22"/>
      <c r="R8" s="34"/>
      <c r="S8" s="35"/>
      <c r="T8" s="22"/>
      <c r="U8" s="34"/>
      <c r="V8" s="22"/>
      <c r="W8" s="44"/>
      <c r="X8" s="22"/>
      <c r="Y8" s="44"/>
      <c r="Z8" s="35"/>
      <c r="AA8" s="46"/>
      <c r="AB8" s="35"/>
      <c r="AC8" s="46"/>
      <c r="AD8" s="35"/>
      <c r="AE8" s="46"/>
      <c r="AF8" s="22"/>
      <c r="AG8" s="44"/>
      <c r="AH8" s="22">
        <v>1</v>
      </c>
      <c r="AI8" s="26">
        <v>2</v>
      </c>
      <c r="AJ8" s="21"/>
      <c r="AK8" s="21"/>
      <c r="AL8" s="21"/>
      <c r="AM8" s="21"/>
      <c r="AN8" s="21"/>
      <c r="AO8" s="21"/>
      <c r="AP8" s="21"/>
      <c r="AQ8" s="21"/>
      <c r="AR8" s="21"/>
      <c r="AS8" s="21"/>
      <c r="AT8" s="21"/>
      <c r="AU8" s="21"/>
      <c r="AV8" s="21"/>
      <c r="AW8" s="21"/>
      <c r="AX8" s="21"/>
      <c r="AY8" s="21"/>
      <c r="AZ8" s="3"/>
      <c r="BA8" s="3"/>
      <c r="BB8" s="3"/>
      <c r="BC8" s="3"/>
      <c r="BD8" s="3"/>
    </row>
    <row r="9" spans="1:56" ht="30" customHeight="1" thickBot="1" x14ac:dyDescent="0.3">
      <c r="A9" s="50"/>
      <c r="B9" s="7"/>
      <c r="C9" s="39">
        <f t="shared" si="0"/>
        <v>0</v>
      </c>
      <c r="D9" s="48"/>
      <c r="E9" s="42"/>
      <c r="F9" s="42"/>
      <c r="G9" s="51"/>
      <c r="H9" s="31"/>
      <c r="I9" s="52"/>
      <c r="J9" s="31"/>
      <c r="K9" s="52"/>
      <c r="L9" s="31"/>
      <c r="M9" s="52"/>
      <c r="N9" s="31"/>
      <c r="O9" s="52"/>
      <c r="P9" s="31"/>
      <c r="Q9" s="23"/>
      <c r="R9" s="30"/>
      <c r="S9" s="31"/>
      <c r="T9" s="23"/>
      <c r="U9" s="30"/>
      <c r="V9" s="23"/>
      <c r="W9" s="51"/>
      <c r="X9" s="23"/>
      <c r="Y9" s="51"/>
      <c r="Z9" s="31"/>
      <c r="AA9" s="52"/>
      <c r="AB9" s="31"/>
      <c r="AC9" s="52"/>
      <c r="AD9" s="31"/>
      <c r="AE9" s="52"/>
      <c r="AF9" s="23"/>
      <c r="AG9" s="51"/>
      <c r="AH9" s="23"/>
      <c r="AI9" s="33"/>
      <c r="AJ9" s="21"/>
      <c r="AK9" s="21"/>
      <c r="AL9" s="21"/>
      <c r="AM9" s="21"/>
      <c r="AN9" s="21"/>
      <c r="AO9" s="21"/>
      <c r="AP9" s="21"/>
      <c r="AQ9" s="21"/>
      <c r="AR9" s="21"/>
      <c r="AS9" s="21"/>
      <c r="AT9" s="21"/>
      <c r="AU9" s="21"/>
      <c r="AV9" s="21"/>
      <c r="AW9" s="21"/>
      <c r="AX9" s="21"/>
      <c r="AY9" s="21"/>
      <c r="AZ9" s="3"/>
      <c r="BA9" s="3"/>
      <c r="BB9" s="3"/>
      <c r="BC9" s="3"/>
      <c r="BD9" s="3"/>
    </row>
    <row r="10" spans="1:56" ht="30" customHeight="1" thickBot="1" x14ac:dyDescent="0.3">
      <c r="A10" s="49" t="s">
        <v>19</v>
      </c>
      <c r="B10" s="10" t="s">
        <v>27</v>
      </c>
      <c r="C10" s="39">
        <f t="shared" si="0"/>
        <v>3</v>
      </c>
      <c r="D10" s="47">
        <f t="shared" ref="D10" si="2">SUM(G10:AI11)-K10-L10-L11+(K10/10)+(L10/10)+(L11/10)</f>
        <v>3</v>
      </c>
      <c r="E10" s="18"/>
      <c r="F10" s="18"/>
      <c r="G10" s="43"/>
      <c r="H10" s="28">
        <v>1</v>
      </c>
      <c r="I10" s="45"/>
      <c r="J10" s="28">
        <v>1</v>
      </c>
      <c r="K10" s="45"/>
      <c r="L10" s="28"/>
      <c r="M10" s="45"/>
      <c r="N10" s="28"/>
      <c r="O10" s="45"/>
      <c r="P10" s="28"/>
      <c r="Q10" s="20"/>
      <c r="R10" s="29"/>
      <c r="S10" s="28"/>
      <c r="T10" s="20"/>
      <c r="U10" s="29"/>
      <c r="V10" s="20"/>
      <c r="W10" s="43"/>
      <c r="X10" s="20"/>
      <c r="Y10" s="43"/>
      <c r="Z10" s="28"/>
      <c r="AA10" s="45"/>
      <c r="AB10" s="28"/>
      <c r="AC10" s="45"/>
      <c r="AD10" s="28">
        <v>1</v>
      </c>
      <c r="AE10" s="45"/>
      <c r="AF10" s="20"/>
      <c r="AG10" s="43"/>
      <c r="AH10" s="20"/>
      <c r="AI10" s="32"/>
      <c r="AJ10" s="21"/>
      <c r="AK10" s="21"/>
      <c r="AL10" s="21"/>
      <c r="AM10" s="21"/>
      <c r="AN10" s="21"/>
      <c r="AO10" s="21"/>
      <c r="AP10" s="21"/>
      <c r="AQ10" s="21"/>
      <c r="AR10" s="21"/>
      <c r="AS10" s="21"/>
      <c r="AT10" s="21"/>
      <c r="AU10" s="21"/>
      <c r="AV10" s="21"/>
      <c r="AW10" s="21"/>
      <c r="AX10" s="21"/>
      <c r="AY10" s="21"/>
      <c r="AZ10" s="3"/>
      <c r="BA10" s="3"/>
      <c r="BB10" s="3"/>
      <c r="BC10" s="3"/>
      <c r="BD10" s="3"/>
    </row>
    <row r="11" spans="1:56" ht="30" customHeight="1" thickBot="1" x14ac:dyDescent="0.3">
      <c r="A11" s="50"/>
      <c r="B11" s="7"/>
      <c r="C11" s="39">
        <f t="shared" si="0"/>
        <v>0</v>
      </c>
      <c r="D11" s="48"/>
      <c r="E11" s="42"/>
      <c r="F11" s="42"/>
      <c r="G11" s="51"/>
      <c r="H11" s="31"/>
      <c r="I11" s="52"/>
      <c r="J11" s="31"/>
      <c r="K11" s="52"/>
      <c r="L11" s="31"/>
      <c r="M11" s="52"/>
      <c r="N11" s="31"/>
      <c r="O11" s="52"/>
      <c r="P11" s="31"/>
      <c r="Q11" s="23"/>
      <c r="R11" s="30"/>
      <c r="S11" s="31"/>
      <c r="T11" s="23"/>
      <c r="U11" s="30"/>
      <c r="V11" s="23"/>
      <c r="W11" s="51"/>
      <c r="X11" s="23"/>
      <c r="Y11" s="51"/>
      <c r="Z11" s="31"/>
      <c r="AA11" s="52"/>
      <c r="AB11" s="31"/>
      <c r="AC11" s="52"/>
      <c r="AD11" s="31"/>
      <c r="AE11" s="52"/>
      <c r="AF11" s="23"/>
      <c r="AG11" s="51"/>
      <c r="AH11" s="23"/>
      <c r="AI11" s="33"/>
      <c r="AJ11" s="21"/>
      <c r="AK11" s="21"/>
      <c r="AL11" s="21"/>
      <c r="AM11" s="21"/>
      <c r="AN11" s="21"/>
      <c r="AO11" s="21"/>
      <c r="AP11" s="21"/>
      <c r="AQ11" s="21"/>
      <c r="AR11" s="21"/>
      <c r="AS11" s="21"/>
      <c r="AT11" s="21"/>
      <c r="AU11" s="21"/>
      <c r="AV11" s="21"/>
      <c r="AW11" s="21"/>
      <c r="AX11" s="21"/>
      <c r="AY11" s="21"/>
      <c r="AZ11" s="3"/>
      <c r="BA11" s="3"/>
      <c r="BB11" s="3"/>
      <c r="BC11" s="3"/>
      <c r="BD11" s="3"/>
    </row>
    <row r="12" spans="1:56" ht="30" customHeight="1" thickBot="1" x14ac:dyDescent="0.3">
      <c r="A12" s="49" t="s">
        <v>20</v>
      </c>
      <c r="B12" s="5"/>
      <c r="C12" s="39">
        <f t="shared" si="0"/>
        <v>0</v>
      </c>
      <c r="D12" s="47">
        <f t="shared" ref="D12" si="3">SUM(G12:AI13)-K12-L12-L13+(K12/10)+(L12/10)+(L13/10)</f>
        <v>0</v>
      </c>
      <c r="E12" s="18"/>
      <c r="F12" s="18"/>
      <c r="G12" s="43"/>
      <c r="H12" s="28"/>
      <c r="I12" s="45"/>
      <c r="J12" s="28"/>
      <c r="K12" s="45"/>
      <c r="L12" s="28"/>
      <c r="M12" s="45"/>
      <c r="N12" s="28"/>
      <c r="O12" s="45"/>
      <c r="P12" s="28"/>
      <c r="Q12" s="20"/>
      <c r="R12" s="29"/>
      <c r="S12" s="28"/>
      <c r="T12" s="20"/>
      <c r="U12" s="29"/>
      <c r="V12" s="20"/>
      <c r="W12" s="43"/>
      <c r="X12" s="20"/>
      <c r="Y12" s="43"/>
      <c r="Z12" s="28"/>
      <c r="AA12" s="45"/>
      <c r="AB12" s="28"/>
      <c r="AC12" s="45"/>
      <c r="AD12" s="28"/>
      <c r="AE12" s="45"/>
      <c r="AF12" s="20"/>
      <c r="AG12" s="43"/>
      <c r="AH12" s="20"/>
      <c r="AI12" s="32"/>
      <c r="AJ12" s="21"/>
      <c r="AK12" s="21"/>
      <c r="AL12" s="21"/>
      <c r="AM12" s="21"/>
      <c r="AN12" s="21"/>
      <c r="AO12" s="21"/>
      <c r="AP12" s="21"/>
      <c r="AQ12" s="21"/>
      <c r="AR12" s="21"/>
      <c r="AS12" s="21"/>
      <c r="AT12" s="21"/>
      <c r="AU12" s="21"/>
      <c r="AV12" s="21"/>
      <c r="AW12" s="21"/>
      <c r="AX12" s="21"/>
      <c r="AY12" s="21"/>
      <c r="AZ12" s="3"/>
      <c r="BA12" s="3"/>
      <c r="BB12" s="3"/>
      <c r="BC12" s="3"/>
      <c r="BD12" s="3"/>
    </row>
    <row r="13" spans="1:56" ht="30" customHeight="1" thickBot="1" x14ac:dyDescent="0.3">
      <c r="A13" s="50"/>
      <c r="B13" s="7"/>
      <c r="C13" s="39">
        <f t="shared" si="0"/>
        <v>0</v>
      </c>
      <c r="D13" s="48"/>
      <c r="E13" s="42"/>
      <c r="F13" s="42"/>
      <c r="G13" s="51"/>
      <c r="H13" s="31"/>
      <c r="I13" s="52"/>
      <c r="J13" s="31"/>
      <c r="K13" s="52"/>
      <c r="L13" s="31"/>
      <c r="M13" s="52"/>
      <c r="N13" s="31"/>
      <c r="O13" s="52"/>
      <c r="P13" s="31"/>
      <c r="Q13" s="23"/>
      <c r="R13" s="30"/>
      <c r="S13" s="31"/>
      <c r="T13" s="23"/>
      <c r="U13" s="30"/>
      <c r="V13" s="23"/>
      <c r="W13" s="51"/>
      <c r="X13" s="23"/>
      <c r="Y13" s="51"/>
      <c r="Z13" s="31"/>
      <c r="AA13" s="52"/>
      <c r="AB13" s="31"/>
      <c r="AC13" s="52"/>
      <c r="AD13" s="31"/>
      <c r="AE13" s="52"/>
      <c r="AF13" s="23"/>
      <c r="AG13" s="51"/>
      <c r="AH13" s="23"/>
      <c r="AI13" s="33"/>
      <c r="AJ13" s="21"/>
      <c r="AK13" s="21"/>
      <c r="AL13" s="21"/>
      <c r="AM13" s="21"/>
      <c r="AN13" s="21"/>
      <c r="AO13" s="21"/>
      <c r="AP13" s="21"/>
      <c r="AQ13" s="21"/>
      <c r="AR13" s="21"/>
      <c r="AS13" s="21"/>
      <c r="AT13" s="21"/>
      <c r="AU13" s="21"/>
      <c r="AV13" s="21"/>
      <c r="AW13" s="21"/>
      <c r="AX13" s="21"/>
      <c r="AY13" s="21"/>
      <c r="AZ13" s="3"/>
      <c r="BA13" s="3"/>
      <c r="BB13" s="3"/>
      <c r="BC13" s="3"/>
      <c r="BD13" s="3"/>
    </row>
    <row r="14" spans="1:56" ht="30" customHeight="1" thickBot="1" x14ac:dyDescent="0.3">
      <c r="A14" s="49" t="s">
        <v>21</v>
      </c>
      <c r="B14" s="5" t="s">
        <v>28</v>
      </c>
      <c r="C14" s="39">
        <f t="shared" si="0"/>
        <v>1</v>
      </c>
      <c r="D14" s="47">
        <f t="shared" ref="D14" si="4">SUM(G14:AI15)-K14-L14-L15+(K14/10)+(L14/10)+(L15/10)</f>
        <v>2.1</v>
      </c>
      <c r="E14" s="18"/>
      <c r="F14" s="18"/>
      <c r="G14" s="43"/>
      <c r="H14" s="28"/>
      <c r="I14" s="45"/>
      <c r="J14" s="28"/>
      <c r="K14" s="45">
        <v>1</v>
      </c>
      <c r="L14" s="28"/>
      <c r="M14" s="45"/>
      <c r="N14" s="28"/>
      <c r="O14" s="45"/>
      <c r="P14" s="28"/>
      <c r="Q14" s="20"/>
      <c r="R14" s="29"/>
      <c r="S14" s="28"/>
      <c r="T14" s="20"/>
      <c r="U14" s="29"/>
      <c r="V14" s="20"/>
      <c r="W14" s="43"/>
      <c r="X14" s="20"/>
      <c r="Y14" s="43"/>
      <c r="Z14" s="28"/>
      <c r="AA14" s="45"/>
      <c r="AB14" s="28"/>
      <c r="AC14" s="45">
        <v>1</v>
      </c>
      <c r="AD14" s="28"/>
      <c r="AE14" s="45"/>
      <c r="AF14" s="20"/>
      <c r="AG14" s="43"/>
      <c r="AH14" s="20"/>
      <c r="AI14" s="32">
        <v>1</v>
      </c>
      <c r="AJ14" s="21"/>
      <c r="AK14" s="21"/>
      <c r="AL14" s="21"/>
      <c r="AM14" s="21"/>
      <c r="AN14" s="21"/>
      <c r="AO14" s="21"/>
      <c r="AP14" s="21"/>
      <c r="AQ14" s="21"/>
      <c r="AR14" s="21"/>
      <c r="AS14" s="21"/>
      <c r="AT14" s="21"/>
      <c r="AU14" s="21"/>
      <c r="AV14" s="21"/>
      <c r="AW14" s="21"/>
      <c r="AX14" s="21"/>
      <c r="AY14" s="21"/>
      <c r="AZ14" s="3"/>
      <c r="BA14" s="3"/>
      <c r="BB14" s="3"/>
      <c r="BC14" s="3"/>
      <c r="BD14" s="3"/>
    </row>
    <row r="15" spans="1:56" ht="30" customHeight="1" thickBot="1" x14ac:dyDescent="0.3">
      <c r="A15" s="50"/>
      <c r="B15" s="7"/>
      <c r="C15" s="39">
        <f t="shared" si="0"/>
        <v>0</v>
      </c>
      <c r="D15" s="48"/>
      <c r="E15" s="42"/>
      <c r="F15" s="42"/>
      <c r="G15" s="51"/>
      <c r="H15" s="31"/>
      <c r="I15" s="52"/>
      <c r="J15" s="31"/>
      <c r="K15" s="52"/>
      <c r="L15" s="31"/>
      <c r="M15" s="52"/>
      <c r="N15" s="31"/>
      <c r="O15" s="52"/>
      <c r="P15" s="31"/>
      <c r="Q15" s="23"/>
      <c r="R15" s="30"/>
      <c r="S15" s="31"/>
      <c r="T15" s="23"/>
      <c r="U15" s="30"/>
      <c r="V15" s="23"/>
      <c r="W15" s="51"/>
      <c r="X15" s="23"/>
      <c r="Y15" s="51"/>
      <c r="Z15" s="31"/>
      <c r="AA15" s="52"/>
      <c r="AB15" s="31"/>
      <c r="AC15" s="52"/>
      <c r="AD15" s="31"/>
      <c r="AE15" s="52"/>
      <c r="AF15" s="23"/>
      <c r="AG15" s="51"/>
      <c r="AH15" s="23"/>
      <c r="AI15" s="33"/>
      <c r="AJ15" s="21"/>
      <c r="AK15" s="21"/>
      <c r="AL15" s="21"/>
      <c r="AM15" s="21"/>
      <c r="AN15" s="21"/>
      <c r="AO15" s="21"/>
      <c r="AP15" s="21"/>
      <c r="AQ15" s="21"/>
      <c r="AR15" s="21"/>
      <c r="AS15" s="21"/>
      <c r="AT15" s="21"/>
      <c r="AU15" s="21"/>
      <c r="AV15" s="21"/>
      <c r="AW15" s="21"/>
      <c r="AX15" s="21"/>
      <c r="AY15" s="21"/>
      <c r="AZ15" s="3"/>
      <c r="BA15" s="3"/>
      <c r="BB15" s="3"/>
      <c r="BC15" s="3"/>
      <c r="BD15" s="3"/>
    </row>
    <row r="16" spans="1:56" ht="30" customHeight="1" thickBot="1" x14ac:dyDescent="0.3">
      <c r="A16" s="49" t="s">
        <v>22</v>
      </c>
      <c r="B16" s="5" t="s">
        <v>29</v>
      </c>
      <c r="C16" s="39">
        <f t="shared" si="0"/>
        <v>2.5</v>
      </c>
      <c r="D16" s="47">
        <f t="shared" ref="D16" si="5">SUM(G16:AI17)-K16-L16-L17+(K16/10)+(L16/10)+(L17/10)</f>
        <v>2.5</v>
      </c>
      <c r="E16" s="18"/>
      <c r="F16" s="18"/>
      <c r="G16" s="43"/>
      <c r="H16" s="28"/>
      <c r="I16" s="45"/>
      <c r="J16" s="28"/>
      <c r="K16" s="45"/>
      <c r="L16" s="28"/>
      <c r="M16" s="45"/>
      <c r="N16" s="28"/>
      <c r="O16" s="45"/>
      <c r="P16" s="28"/>
      <c r="Q16" s="20"/>
      <c r="R16" s="29"/>
      <c r="S16" s="28">
        <v>1</v>
      </c>
      <c r="T16" s="20"/>
      <c r="U16" s="29"/>
      <c r="V16" s="20"/>
      <c r="W16" s="43"/>
      <c r="X16" s="20">
        <v>1</v>
      </c>
      <c r="Y16" s="43"/>
      <c r="Z16" s="28"/>
      <c r="AA16" s="45"/>
      <c r="AB16" s="28"/>
      <c r="AC16" s="45"/>
      <c r="AD16" s="28"/>
      <c r="AE16" s="45"/>
      <c r="AF16" s="20"/>
      <c r="AG16" s="43"/>
      <c r="AH16" s="20"/>
      <c r="AI16" s="32">
        <v>0.5</v>
      </c>
      <c r="AJ16" s="21"/>
      <c r="AK16" s="21"/>
      <c r="AL16" s="21"/>
      <c r="AM16" s="21"/>
      <c r="AN16" s="21"/>
      <c r="AO16" s="21"/>
      <c r="AP16" s="21"/>
      <c r="AQ16" s="21"/>
      <c r="AR16" s="21"/>
      <c r="AS16" s="21"/>
      <c r="AT16" s="21"/>
      <c r="AU16" s="21"/>
      <c r="AV16" s="21"/>
      <c r="AW16" s="21"/>
      <c r="AX16" s="21"/>
      <c r="AY16" s="21"/>
      <c r="AZ16" s="3"/>
      <c r="BA16" s="3"/>
      <c r="BB16" s="3"/>
      <c r="BC16" s="3"/>
      <c r="BD16" s="3"/>
    </row>
    <row r="17" spans="1:56" ht="30" customHeight="1" thickBot="1" x14ac:dyDescent="0.3">
      <c r="A17" s="50"/>
      <c r="B17" s="7"/>
      <c r="C17" s="39">
        <f t="shared" si="0"/>
        <v>0</v>
      </c>
      <c r="D17" s="48"/>
      <c r="E17" s="42"/>
      <c r="F17" s="42"/>
      <c r="G17" s="51"/>
      <c r="H17" s="31"/>
      <c r="I17" s="52"/>
      <c r="J17" s="31"/>
      <c r="K17" s="52"/>
      <c r="L17" s="31"/>
      <c r="M17" s="52"/>
      <c r="N17" s="31"/>
      <c r="O17" s="52"/>
      <c r="P17" s="31"/>
      <c r="Q17" s="23"/>
      <c r="R17" s="30"/>
      <c r="S17" s="31"/>
      <c r="T17" s="23"/>
      <c r="U17" s="30"/>
      <c r="V17" s="23"/>
      <c r="W17" s="51"/>
      <c r="X17" s="23"/>
      <c r="Y17" s="51"/>
      <c r="Z17" s="31"/>
      <c r="AA17" s="52"/>
      <c r="AB17" s="31"/>
      <c r="AC17" s="52"/>
      <c r="AD17" s="31"/>
      <c r="AE17" s="52"/>
      <c r="AF17" s="23"/>
      <c r="AG17" s="51"/>
      <c r="AH17" s="23"/>
      <c r="AI17" s="33"/>
      <c r="AJ17" s="21"/>
      <c r="AK17" s="21"/>
      <c r="AL17" s="21"/>
      <c r="AM17" s="21"/>
      <c r="AN17" s="21"/>
      <c r="AO17" s="21"/>
      <c r="AP17" s="21"/>
      <c r="AQ17" s="21"/>
      <c r="AR17" s="21"/>
      <c r="AS17" s="21"/>
      <c r="AT17" s="21"/>
      <c r="AU17" s="21"/>
      <c r="AV17" s="21"/>
      <c r="AW17" s="21"/>
      <c r="AX17" s="21"/>
      <c r="AY17" s="21"/>
      <c r="AZ17" s="3"/>
      <c r="BA17" s="3"/>
      <c r="BB17" s="3"/>
      <c r="BC17" s="3"/>
      <c r="BD17" s="3"/>
    </row>
    <row r="18" spans="1:56" ht="30" customHeight="1" thickBot="1" x14ac:dyDescent="0.3">
      <c r="A18" s="49" t="s">
        <v>23</v>
      </c>
      <c r="B18" s="5"/>
      <c r="C18" s="39">
        <f t="shared" si="0"/>
        <v>2</v>
      </c>
      <c r="D18" s="47">
        <f t="shared" ref="D18" si="6">SUM(G18:AI19)-K18-L18-L19+(K18/10)+(L18/10)+(L19/10)</f>
        <v>2</v>
      </c>
      <c r="E18" s="18"/>
      <c r="F18" s="18"/>
      <c r="G18" s="43"/>
      <c r="H18" s="28"/>
      <c r="I18" s="45"/>
      <c r="J18" s="28"/>
      <c r="K18" s="45"/>
      <c r="L18" s="28"/>
      <c r="M18" s="45"/>
      <c r="N18" s="28"/>
      <c r="O18" s="45"/>
      <c r="P18" s="28"/>
      <c r="Q18" s="20"/>
      <c r="R18" s="29"/>
      <c r="S18" s="28"/>
      <c r="T18" s="20"/>
      <c r="U18" s="29"/>
      <c r="V18" s="20"/>
      <c r="W18" s="43"/>
      <c r="X18" s="20"/>
      <c r="Y18" s="43"/>
      <c r="Z18" s="28"/>
      <c r="AA18" s="45"/>
      <c r="AB18" s="28"/>
      <c r="AC18" s="45"/>
      <c r="AD18" s="28"/>
      <c r="AE18" s="45"/>
      <c r="AF18" s="20"/>
      <c r="AG18" s="43"/>
      <c r="AH18" s="20"/>
      <c r="AI18" s="53">
        <v>2</v>
      </c>
      <c r="AJ18" s="21"/>
      <c r="AK18" s="21"/>
      <c r="AL18" s="21"/>
      <c r="AM18" s="21"/>
      <c r="AN18" s="21"/>
      <c r="AO18" s="21"/>
      <c r="AP18" s="21"/>
      <c r="AQ18" s="21"/>
      <c r="AR18" s="21"/>
      <c r="AS18" s="21"/>
      <c r="AT18" s="21"/>
      <c r="AU18" s="21"/>
      <c r="AV18" s="21"/>
      <c r="AW18" s="21"/>
      <c r="AX18" s="21"/>
      <c r="AY18" s="21"/>
      <c r="AZ18" s="3"/>
      <c r="BA18" s="3"/>
      <c r="BB18" s="3"/>
      <c r="BC18" s="3"/>
      <c r="BD18" s="3"/>
    </row>
    <row r="19" spans="1:56" ht="30" customHeight="1" thickBot="1" x14ac:dyDescent="0.3">
      <c r="A19" s="50"/>
      <c r="B19" s="7"/>
      <c r="C19" s="39">
        <f t="shared" si="0"/>
        <v>0</v>
      </c>
      <c r="D19" s="48"/>
      <c r="E19" s="42"/>
      <c r="F19" s="42"/>
      <c r="G19" s="51"/>
      <c r="H19" s="31"/>
      <c r="I19" s="52"/>
      <c r="J19" s="31"/>
      <c r="K19" s="52"/>
      <c r="L19" s="31"/>
      <c r="M19" s="52"/>
      <c r="N19" s="31"/>
      <c r="O19" s="52"/>
      <c r="P19" s="31"/>
      <c r="Q19" s="23"/>
      <c r="R19" s="30"/>
      <c r="S19" s="31"/>
      <c r="T19" s="23"/>
      <c r="U19" s="30"/>
      <c r="V19" s="23"/>
      <c r="W19" s="51"/>
      <c r="X19" s="23"/>
      <c r="Y19" s="51"/>
      <c r="Z19" s="31"/>
      <c r="AA19" s="52"/>
      <c r="AB19" s="31"/>
      <c r="AC19" s="52"/>
      <c r="AD19" s="31"/>
      <c r="AE19" s="52"/>
      <c r="AF19" s="23"/>
      <c r="AG19" s="51"/>
      <c r="AH19" s="23"/>
      <c r="AI19" s="54"/>
      <c r="AJ19" s="21"/>
      <c r="AK19" s="21"/>
      <c r="AL19" s="21"/>
      <c r="AM19" s="21"/>
      <c r="AN19" s="21"/>
      <c r="AO19" s="21" t="s">
        <v>49</v>
      </c>
      <c r="AP19" s="21"/>
      <c r="AQ19" s="21"/>
      <c r="AR19" s="21"/>
      <c r="AS19" s="21"/>
      <c r="AT19" s="21"/>
      <c r="AU19" s="21"/>
      <c r="AV19" s="21"/>
      <c r="AW19" s="21"/>
      <c r="AX19" s="21"/>
      <c r="AY19" s="21"/>
      <c r="AZ19" s="3"/>
      <c r="BA19" s="3"/>
      <c r="BB19" s="3"/>
      <c r="BC19" s="3"/>
      <c r="BD19" s="3"/>
    </row>
    <row r="20" spans="1:56" ht="30" customHeight="1" thickBot="1" x14ac:dyDescent="0.3">
      <c r="A20" s="49" t="s">
        <v>14</v>
      </c>
      <c r="B20" s="11" t="s">
        <v>30</v>
      </c>
      <c r="C20" s="39">
        <f>H20+J20+(L20/10)+N20+P20+Q20+R20+S20+T20+U20+V20+X20+Z20+AB20+AD20+AF20+AH20+AI20</f>
        <v>4</v>
      </c>
      <c r="D20" s="47">
        <f>SUM(G20:AI21)-K20-L20-L21+(K20/10)+(L20/10)+(L21/10)</f>
        <v>4</v>
      </c>
      <c r="E20" s="18"/>
      <c r="F20" s="18"/>
      <c r="G20" s="43"/>
      <c r="H20" s="28"/>
      <c r="I20" s="45"/>
      <c r="J20" s="28">
        <v>1</v>
      </c>
      <c r="K20" s="45"/>
      <c r="L20" s="28"/>
      <c r="M20" s="45"/>
      <c r="N20" s="28"/>
      <c r="O20" s="45"/>
      <c r="P20" s="28"/>
      <c r="Q20" s="20"/>
      <c r="R20" s="29">
        <v>1</v>
      </c>
      <c r="S20" s="28"/>
      <c r="T20" s="20"/>
      <c r="U20" s="29"/>
      <c r="V20" s="20"/>
      <c r="W20" s="43"/>
      <c r="X20" s="20"/>
      <c r="Y20" s="43"/>
      <c r="Z20" s="28"/>
      <c r="AA20" s="45"/>
      <c r="AB20" s="28"/>
      <c r="AC20" s="45"/>
      <c r="AD20" s="28"/>
      <c r="AE20" s="45"/>
      <c r="AF20" s="20"/>
      <c r="AG20" s="43"/>
      <c r="AH20" s="20"/>
      <c r="AI20" s="32">
        <v>2</v>
      </c>
      <c r="AJ20" s="21"/>
      <c r="AK20" s="21"/>
      <c r="AL20" s="21"/>
      <c r="AM20" s="21"/>
      <c r="AN20" s="21"/>
      <c r="AO20" s="21"/>
      <c r="AP20" s="21"/>
      <c r="AQ20" s="21"/>
      <c r="AR20" s="21"/>
      <c r="AS20" s="21"/>
      <c r="AT20" s="21"/>
      <c r="AU20" s="21"/>
      <c r="AV20" s="21"/>
      <c r="AW20" s="21"/>
      <c r="AX20" s="21"/>
      <c r="AY20" s="21"/>
      <c r="AZ20" s="3"/>
      <c r="BA20" s="3"/>
      <c r="BB20" s="3"/>
      <c r="BC20" s="3"/>
      <c r="BD20" s="3"/>
    </row>
    <row r="21" spans="1:56" ht="30" customHeight="1" thickBot="1" x14ac:dyDescent="0.3">
      <c r="A21" s="50"/>
      <c r="B21" s="7"/>
      <c r="C21" s="39">
        <f t="shared" si="0"/>
        <v>0</v>
      </c>
      <c r="D21" s="48"/>
      <c r="E21" s="42"/>
      <c r="F21" s="42"/>
      <c r="G21" s="51"/>
      <c r="H21" s="31"/>
      <c r="I21" s="52"/>
      <c r="J21" s="31"/>
      <c r="K21" s="52"/>
      <c r="L21" s="31"/>
      <c r="M21" s="52"/>
      <c r="N21" s="31"/>
      <c r="O21" s="52"/>
      <c r="P21" s="31"/>
      <c r="Q21" s="23"/>
      <c r="R21" s="30"/>
      <c r="S21" s="31"/>
      <c r="T21" s="23"/>
      <c r="U21" s="30"/>
      <c r="V21" s="23"/>
      <c r="W21" s="51"/>
      <c r="X21" s="23"/>
      <c r="Y21" s="51"/>
      <c r="Z21" s="31"/>
      <c r="AA21" s="52"/>
      <c r="AB21" s="31"/>
      <c r="AC21" s="52"/>
      <c r="AD21" s="31"/>
      <c r="AE21" s="52"/>
      <c r="AF21" s="23"/>
      <c r="AG21" s="51"/>
      <c r="AH21" s="23"/>
      <c r="AI21" s="33"/>
      <c r="AJ21" s="21"/>
      <c r="AK21" s="21"/>
      <c r="AL21" s="21"/>
      <c r="AM21" s="21"/>
      <c r="AN21" s="21"/>
      <c r="AO21" s="21"/>
      <c r="AP21" s="21"/>
      <c r="AQ21" s="21"/>
      <c r="AR21" s="21"/>
      <c r="AS21" s="21"/>
      <c r="AT21" s="21"/>
      <c r="AU21" s="21"/>
      <c r="AV21" s="21"/>
      <c r="AW21" s="21"/>
      <c r="AX21" s="21"/>
      <c r="AY21" s="21"/>
      <c r="AZ21" s="3"/>
      <c r="BA21" s="3"/>
      <c r="BB21" s="3"/>
      <c r="BC21" s="3"/>
      <c r="BD21" s="3"/>
    </row>
    <row r="22" spans="1:56" ht="30" customHeight="1" thickBot="1" x14ac:dyDescent="0.3">
      <c r="A22" s="49" t="s">
        <v>34</v>
      </c>
      <c r="B22" s="5" t="s">
        <v>35</v>
      </c>
      <c r="C22" s="39">
        <f t="shared" si="0"/>
        <v>1.1000000000000001</v>
      </c>
      <c r="D22" s="47">
        <f>SUM(G22:AI24)-K22-L22-L23-L24+(K22/10)+(L22/10)+(L23/10)+(L24/10)</f>
        <v>4.1999999999999993</v>
      </c>
      <c r="E22" s="18"/>
      <c r="F22" s="18"/>
      <c r="G22" s="43"/>
      <c r="H22" s="28"/>
      <c r="I22" s="45"/>
      <c r="J22" s="28">
        <v>0.1</v>
      </c>
      <c r="K22" s="45"/>
      <c r="L22" s="28"/>
      <c r="M22" s="45"/>
      <c r="N22" s="28"/>
      <c r="O22" s="45"/>
      <c r="P22" s="28">
        <v>0.5</v>
      </c>
      <c r="Q22" s="20"/>
      <c r="R22" s="29"/>
      <c r="S22" s="28"/>
      <c r="T22" s="20"/>
      <c r="U22" s="29"/>
      <c r="V22" s="20"/>
      <c r="W22" s="43"/>
      <c r="X22" s="20"/>
      <c r="Y22" s="43"/>
      <c r="Z22" s="28"/>
      <c r="AA22" s="45"/>
      <c r="AB22" s="28"/>
      <c r="AC22" s="45"/>
      <c r="AD22" s="28">
        <v>0.5</v>
      </c>
      <c r="AE22" s="45"/>
      <c r="AF22" s="20"/>
      <c r="AG22" s="43"/>
      <c r="AH22" s="20"/>
      <c r="AI22" s="26">
        <v>0</v>
      </c>
      <c r="AJ22" s="21"/>
      <c r="AK22" s="21"/>
      <c r="AL22" s="21"/>
      <c r="AM22" s="21"/>
      <c r="AN22" s="21"/>
      <c r="AO22" s="21"/>
      <c r="AP22" s="21"/>
      <c r="AQ22" s="21"/>
      <c r="AR22" s="21"/>
      <c r="AS22" s="21"/>
      <c r="AT22" s="21"/>
      <c r="AU22" s="21"/>
      <c r="AV22" s="21"/>
      <c r="AW22" s="21"/>
      <c r="AX22" s="21"/>
      <c r="AY22" s="21"/>
      <c r="AZ22" s="3"/>
      <c r="BA22" s="3"/>
      <c r="BB22" s="3"/>
      <c r="BC22" s="3"/>
      <c r="BD22" s="3"/>
    </row>
    <row r="23" spans="1:56" ht="30" customHeight="1" thickBot="1" x14ac:dyDescent="0.3">
      <c r="A23" s="58"/>
      <c r="B23" s="9" t="s">
        <v>36</v>
      </c>
      <c r="C23" s="39">
        <f t="shared" si="0"/>
        <v>0.1</v>
      </c>
      <c r="D23" s="57"/>
      <c r="E23" s="41"/>
      <c r="F23" s="41"/>
      <c r="G23" s="44"/>
      <c r="H23" s="35"/>
      <c r="I23" s="46"/>
      <c r="J23" s="35"/>
      <c r="K23" s="46"/>
      <c r="L23" s="35">
        <v>1</v>
      </c>
      <c r="M23" s="46"/>
      <c r="N23" s="35"/>
      <c r="O23" s="46"/>
      <c r="P23" s="35"/>
      <c r="Q23" s="22"/>
      <c r="R23" s="34"/>
      <c r="S23" s="35"/>
      <c r="T23" s="22"/>
      <c r="U23" s="34"/>
      <c r="V23" s="22"/>
      <c r="W23" s="44"/>
      <c r="X23" s="22"/>
      <c r="Y23" s="44"/>
      <c r="Z23" s="35"/>
      <c r="AA23" s="46"/>
      <c r="AB23" s="35"/>
      <c r="AC23" s="46"/>
      <c r="AD23" s="35"/>
      <c r="AE23" s="46"/>
      <c r="AF23" s="22"/>
      <c r="AG23" s="44"/>
      <c r="AH23" s="22"/>
      <c r="AI23" s="26"/>
      <c r="AJ23" s="21"/>
      <c r="AK23" s="21"/>
      <c r="AL23" s="21"/>
      <c r="AM23" s="21"/>
      <c r="AN23" s="21"/>
      <c r="AO23" s="21"/>
      <c r="AP23" s="21"/>
      <c r="AQ23" s="21"/>
      <c r="AR23" s="21"/>
      <c r="AS23" s="21"/>
      <c r="AT23" s="21"/>
      <c r="AU23" s="21"/>
      <c r="AV23" s="21"/>
      <c r="AW23" s="21"/>
      <c r="AX23" s="21"/>
      <c r="AY23" s="21"/>
      <c r="AZ23" s="3"/>
      <c r="BA23" s="3"/>
      <c r="BB23" s="3"/>
      <c r="BC23" s="3"/>
      <c r="BD23" s="3"/>
    </row>
    <row r="24" spans="1:56" ht="30" customHeight="1" thickBot="1" x14ac:dyDescent="0.3">
      <c r="A24" s="50"/>
      <c r="B24" s="7" t="s">
        <v>37</v>
      </c>
      <c r="C24" s="40">
        <f t="shared" si="0"/>
        <v>3</v>
      </c>
      <c r="D24" s="48"/>
      <c r="E24" s="42"/>
      <c r="F24" s="42"/>
      <c r="G24" s="51"/>
      <c r="H24" s="31">
        <v>1</v>
      </c>
      <c r="I24" s="52"/>
      <c r="J24" s="31"/>
      <c r="K24" s="52"/>
      <c r="L24" s="31"/>
      <c r="M24" s="52"/>
      <c r="N24" s="31"/>
      <c r="O24" s="52"/>
      <c r="P24" s="31">
        <v>1</v>
      </c>
      <c r="Q24" s="23"/>
      <c r="R24" s="30"/>
      <c r="S24" s="31"/>
      <c r="T24" s="23"/>
      <c r="U24" s="30"/>
      <c r="V24" s="23"/>
      <c r="W24" s="51"/>
      <c r="X24" s="23"/>
      <c r="Y24" s="51"/>
      <c r="Z24" s="31"/>
      <c r="AA24" s="52"/>
      <c r="AB24" s="31"/>
      <c r="AC24" s="52"/>
      <c r="AD24" s="31">
        <v>1</v>
      </c>
      <c r="AE24" s="52"/>
      <c r="AF24" s="23"/>
      <c r="AG24" s="51"/>
      <c r="AH24" s="23"/>
      <c r="AI24" s="33"/>
      <c r="AJ24" s="21"/>
      <c r="AK24" s="21"/>
      <c r="AL24" s="21"/>
      <c r="AM24" s="21"/>
      <c r="AN24" s="21"/>
      <c r="AO24" s="21" t="s">
        <v>52</v>
      </c>
      <c r="AP24" s="21"/>
      <c r="AQ24" s="21"/>
      <c r="AR24" s="21"/>
      <c r="AS24" s="21"/>
      <c r="AT24" s="21"/>
      <c r="AU24" s="21"/>
      <c r="AV24" s="21"/>
      <c r="AW24" s="21"/>
      <c r="AX24" s="21"/>
      <c r="AY24" s="21"/>
      <c r="AZ24" s="3"/>
      <c r="BA24" s="3"/>
      <c r="BB24" s="3"/>
      <c r="BC24" s="3"/>
      <c r="BD24" s="3"/>
    </row>
    <row r="25" spans="1:56" ht="30" customHeight="1" thickBot="1" x14ac:dyDescent="0.3">
      <c r="A25" s="49" t="s">
        <v>46</v>
      </c>
      <c r="B25" s="5" t="s">
        <v>47</v>
      </c>
      <c r="C25" s="40">
        <f t="shared" si="0"/>
        <v>4</v>
      </c>
      <c r="D25" s="47">
        <f>SUM(G25:AI26)-K25-L25-L26+(K25/10)+(L25/10)+(L26/10)</f>
        <v>4</v>
      </c>
      <c r="E25" s="18"/>
      <c r="F25" s="18"/>
      <c r="G25" s="43"/>
      <c r="H25" s="28"/>
      <c r="I25" s="45"/>
      <c r="J25" s="28"/>
      <c r="K25" s="45"/>
      <c r="L25" s="28"/>
      <c r="M25" s="45"/>
      <c r="N25" s="28"/>
      <c r="O25" s="45"/>
      <c r="P25" s="28"/>
      <c r="Q25" s="20"/>
      <c r="R25" s="29">
        <v>2</v>
      </c>
      <c r="S25" s="28"/>
      <c r="T25" s="20"/>
      <c r="U25" s="29"/>
      <c r="V25" s="20"/>
      <c r="W25" s="43"/>
      <c r="X25" s="20"/>
      <c r="Y25" s="43"/>
      <c r="Z25" s="28"/>
      <c r="AA25" s="45"/>
      <c r="AB25" s="28"/>
      <c r="AC25" s="45"/>
      <c r="AD25" s="28">
        <v>2</v>
      </c>
      <c r="AE25" s="45"/>
      <c r="AF25" s="20"/>
      <c r="AG25" s="43"/>
      <c r="AH25" s="20"/>
      <c r="AI25" s="32"/>
      <c r="AJ25" s="21"/>
      <c r="AK25" s="21"/>
      <c r="AL25" s="21"/>
      <c r="AM25" s="21"/>
      <c r="AN25" s="21"/>
      <c r="AO25" s="21"/>
      <c r="AP25" s="21"/>
      <c r="AQ25" s="21"/>
      <c r="AR25" s="21"/>
      <c r="AS25" s="21"/>
      <c r="AT25" s="21"/>
      <c r="AU25" s="21"/>
      <c r="AV25" s="21"/>
      <c r="AW25" s="21"/>
      <c r="AX25" s="21"/>
      <c r="AY25" s="21"/>
      <c r="AZ25" s="3"/>
      <c r="BA25" s="3"/>
      <c r="BB25" s="3"/>
      <c r="BC25" s="3"/>
      <c r="BD25" s="3"/>
    </row>
    <row r="26" spans="1:56" ht="30" customHeight="1" thickBot="1" x14ac:dyDescent="0.3">
      <c r="A26" s="50"/>
      <c r="B26" s="7"/>
      <c r="C26" s="40">
        <f t="shared" si="0"/>
        <v>0</v>
      </c>
      <c r="D26" s="48"/>
      <c r="E26" s="42"/>
      <c r="F26" s="42"/>
      <c r="G26" s="51"/>
      <c r="H26" s="31"/>
      <c r="I26" s="52"/>
      <c r="J26" s="31"/>
      <c r="K26" s="52"/>
      <c r="L26" s="31"/>
      <c r="M26" s="52"/>
      <c r="N26" s="31"/>
      <c r="O26" s="52"/>
      <c r="P26" s="31"/>
      <c r="Q26" s="23"/>
      <c r="R26" s="30"/>
      <c r="S26" s="31"/>
      <c r="T26" s="23"/>
      <c r="U26" s="30"/>
      <c r="V26" s="23"/>
      <c r="W26" s="51"/>
      <c r="X26" s="23"/>
      <c r="Y26" s="51"/>
      <c r="Z26" s="31"/>
      <c r="AA26" s="52"/>
      <c r="AB26" s="31"/>
      <c r="AC26" s="52"/>
      <c r="AD26" s="31"/>
      <c r="AE26" s="52"/>
      <c r="AF26" s="23"/>
      <c r="AG26" s="51"/>
      <c r="AH26" s="23"/>
      <c r="AI26" s="33"/>
      <c r="AJ26" s="21"/>
      <c r="AK26" s="21"/>
      <c r="AL26" s="21"/>
      <c r="AM26" s="21"/>
      <c r="AN26" s="21"/>
      <c r="AO26" s="21"/>
      <c r="AP26" s="21"/>
      <c r="AQ26" s="21"/>
      <c r="AR26" s="21"/>
      <c r="AS26" s="21"/>
      <c r="AT26" s="21"/>
      <c r="AU26" s="21"/>
      <c r="AV26" s="21"/>
      <c r="AW26" s="21"/>
      <c r="AX26" s="21"/>
      <c r="AY26" s="21"/>
      <c r="AZ26" s="3"/>
      <c r="BA26" s="3"/>
      <c r="BB26" s="3"/>
      <c r="BC26" s="3"/>
      <c r="BD26" s="3"/>
    </row>
    <row r="27" spans="1:56" ht="30" customHeight="1" thickBot="1" x14ac:dyDescent="0.3">
      <c r="A27" s="49" t="s">
        <v>48</v>
      </c>
      <c r="B27" s="5"/>
      <c r="C27" s="40">
        <f t="shared" si="0"/>
        <v>3.6</v>
      </c>
      <c r="D27" s="47">
        <f t="shared" ref="D27" si="7">SUM(G27:AI28)-K27-L27-L28+(K27/10)+(L27/10)+(L28/10)</f>
        <v>3.6</v>
      </c>
      <c r="E27" s="18"/>
      <c r="F27" s="18"/>
      <c r="G27" s="43"/>
      <c r="H27" s="28"/>
      <c r="I27" s="45"/>
      <c r="J27" s="28"/>
      <c r="K27" s="45"/>
      <c r="L27" s="28">
        <v>1</v>
      </c>
      <c r="M27" s="45"/>
      <c r="N27" s="28"/>
      <c r="O27" s="45"/>
      <c r="P27" s="28"/>
      <c r="Q27" s="20"/>
      <c r="R27" s="29"/>
      <c r="S27" s="28"/>
      <c r="T27" s="20"/>
      <c r="U27" s="28"/>
      <c r="V27" s="28"/>
      <c r="W27" s="43"/>
      <c r="X27" s="20"/>
      <c r="Y27" s="43"/>
      <c r="Z27" s="28"/>
      <c r="AA27" s="45"/>
      <c r="AB27" s="28"/>
      <c r="AC27" s="45"/>
      <c r="AD27" s="28">
        <v>1</v>
      </c>
      <c r="AE27" s="45"/>
      <c r="AF27" s="28"/>
      <c r="AG27" s="43"/>
      <c r="AH27" s="20">
        <v>0.5</v>
      </c>
      <c r="AI27" s="20">
        <v>2</v>
      </c>
      <c r="AJ27" s="21"/>
      <c r="AK27" s="21"/>
      <c r="AL27" s="21"/>
      <c r="AM27" s="21"/>
      <c r="AN27" s="21"/>
      <c r="AO27" s="21"/>
      <c r="AP27" s="21"/>
      <c r="AQ27" s="21"/>
      <c r="AR27" s="21"/>
      <c r="AS27" s="21"/>
      <c r="AT27" s="21"/>
      <c r="AU27" s="21"/>
      <c r="AV27" s="21"/>
      <c r="AW27" s="21"/>
      <c r="AX27" s="21"/>
      <c r="AY27" s="21"/>
      <c r="AZ27" s="3"/>
      <c r="BA27" s="3"/>
      <c r="BB27" s="3"/>
      <c r="BC27" s="3"/>
      <c r="BD27" s="3"/>
    </row>
    <row r="28" spans="1:56" ht="30" customHeight="1" thickBot="1" x14ac:dyDescent="0.3">
      <c r="A28" s="50"/>
      <c r="B28" s="7"/>
      <c r="C28" s="40">
        <f t="shared" si="0"/>
        <v>0</v>
      </c>
      <c r="D28" s="48"/>
      <c r="E28" s="42"/>
      <c r="F28" s="42"/>
      <c r="G28" s="51"/>
      <c r="H28" s="31"/>
      <c r="I28" s="52"/>
      <c r="J28" s="31"/>
      <c r="K28" s="52"/>
      <c r="L28" s="31"/>
      <c r="M28" s="52"/>
      <c r="N28" s="31"/>
      <c r="O28" s="52"/>
      <c r="P28" s="31"/>
      <c r="Q28" s="23"/>
      <c r="R28" s="30"/>
      <c r="S28" s="31"/>
      <c r="T28" s="23"/>
      <c r="U28" s="31"/>
      <c r="V28" s="31"/>
      <c r="W28" s="51"/>
      <c r="X28" s="23"/>
      <c r="Y28" s="51"/>
      <c r="Z28" s="31"/>
      <c r="AA28" s="52"/>
      <c r="AB28" s="31"/>
      <c r="AC28" s="52"/>
      <c r="AD28" s="31"/>
      <c r="AE28" s="52"/>
      <c r="AF28" s="31"/>
      <c r="AG28" s="51"/>
      <c r="AH28" s="23"/>
      <c r="AI28" s="23"/>
      <c r="AJ28" s="21"/>
      <c r="AK28" s="21"/>
      <c r="AL28" s="21"/>
      <c r="AM28" s="21"/>
      <c r="AN28" s="21"/>
      <c r="AO28" s="21"/>
      <c r="AP28" s="21"/>
      <c r="AQ28" s="21"/>
      <c r="AR28" s="21"/>
      <c r="AS28" s="21"/>
      <c r="AT28" s="21"/>
      <c r="AU28" s="21"/>
      <c r="AV28" s="21"/>
      <c r="AW28" s="21"/>
      <c r="AX28" s="21"/>
      <c r="AY28" s="21"/>
      <c r="AZ28" s="3"/>
      <c r="BA28" s="3"/>
      <c r="BB28" s="3"/>
      <c r="BC28" s="3"/>
      <c r="BD28" s="3"/>
    </row>
    <row r="29" spans="1:56" ht="30" customHeight="1" thickBot="1" x14ac:dyDescent="0.3">
      <c r="A29" s="49" t="s">
        <v>50</v>
      </c>
      <c r="B29" s="36" t="s">
        <v>53</v>
      </c>
      <c r="C29" s="40">
        <f t="shared" si="0"/>
        <v>5</v>
      </c>
      <c r="D29" s="47">
        <f t="shared" ref="D29" si="8">SUM(G29:AI30)-K29-L29-L30+(K29/10)+(L29/10)+(L30/10)</f>
        <v>5</v>
      </c>
      <c r="E29" s="1"/>
      <c r="F29" s="1"/>
      <c r="G29" s="43"/>
      <c r="H29" s="28"/>
      <c r="I29" s="45"/>
      <c r="J29" s="28"/>
      <c r="K29" s="45"/>
      <c r="L29" s="28"/>
      <c r="M29" s="45"/>
      <c r="N29" s="28"/>
      <c r="O29" s="45"/>
      <c r="P29" s="28"/>
      <c r="Q29" s="20"/>
      <c r="R29" s="29"/>
      <c r="S29" s="28"/>
      <c r="T29" s="20"/>
      <c r="U29" s="29"/>
      <c r="V29" s="20"/>
      <c r="W29" s="43"/>
      <c r="X29" s="20"/>
      <c r="Y29" s="43"/>
      <c r="Z29" s="28"/>
      <c r="AA29" s="45"/>
      <c r="AB29" s="28"/>
      <c r="AC29" s="45"/>
      <c r="AD29" s="28">
        <v>3</v>
      </c>
      <c r="AE29" s="45"/>
      <c r="AF29" s="20"/>
      <c r="AG29" s="43"/>
      <c r="AH29" s="20"/>
      <c r="AI29" s="32">
        <v>2</v>
      </c>
      <c r="AJ29" s="21"/>
      <c r="AK29" s="21"/>
      <c r="AL29" s="21"/>
      <c r="AM29" s="21"/>
      <c r="AN29" s="21"/>
      <c r="AO29" s="21"/>
      <c r="AP29" s="21"/>
      <c r="AQ29" s="21"/>
      <c r="AR29" s="21"/>
      <c r="AS29" s="21"/>
      <c r="AT29" s="21"/>
      <c r="AU29" s="21"/>
      <c r="AV29" s="21"/>
      <c r="AW29" s="21"/>
      <c r="AX29" s="21"/>
      <c r="AY29" s="21"/>
      <c r="AZ29" s="3"/>
      <c r="BA29" s="3"/>
      <c r="BB29" s="3"/>
      <c r="BC29" s="3"/>
      <c r="BD29" s="3"/>
    </row>
    <row r="30" spans="1:56" ht="30" customHeight="1" thickBot="1" x14ac:dyDescent="0.3">
      <c r="A30" s="58"/>
      <c r="B30" s="37"/>
      <c r="C30" s="40">
        <f t="shared" si="0"/>
        <v>0</v>
      </c>
      <c r="D30" s="48"/>
      <c r="E30" s="1"/>
      <c r="F30" s="1"/>
      <c r="G30" s="44"/>
      <c r="H30" s="35"/>
      <c r="I30" s="46"/>
      <c r="J30" s="35"/>
      <c r="K30" s="46"/>
      <c r="L30" s="35"/>
      <c r="M30" s="46"/>
      <c r="N30" s="35"/>
      <c r="O30" s="46"/>
      <c r="P30" s="35"/>
      <c r="Q30" s="22"/>
      <c r="R30" s="34"/>
      <c r="S30" s="35"/>
      <c r="T30" s="22"/>
      <c r="U30" s="34"/>
      <c r="V30" s="22"/>
      <c r="W30" s="44"/>
      <c r="X30" s="22"/>
      <c r="Y30" s="44"/>
      <c r="Z30" s="35"/>
      <c r="AA30" s="46"/>
      <c r="AB30" s="35"/>
      <c r="AC30" s="46"/>
      <c r="AD30" s="35"/>
      <c r="AE30" s="46"/>
      <c r="AF30" s="22"/>
      <c r="AG30" s="44"/>
      <c r="AH30" s="22"/>
      <c r="AI30" s="26"/>
      <c r="AJ30" s="21"/>
      <c r="AK30" s="21"/>
      <c r="AL30" s="21"/>
      <c r="AM30" s="21"/>
      <c r="AN30" s="21"/>
      <c r="AO30" s="21"/>
      <c r="AP30" s="21"/>
      <c r="AQ30" s="21"/>
      <c r="AR30" s="21"/>
      <c r="AS30" s="21"/>
      <c r="AT30" s="21"/>
      <c r="AU30" s="21"/>
      <c r="AV30" s="21"/>
      <c r="AW30" s="21"/>
      <c r="AX30" s="21"/>
      <c r="AY30" s="21"/>
      <c r="AZ30" s="3"/>
      <c r="BA30" s="3"/>
      <c r="BB30" s="3"/>
      <c r="BC30" s="3"/>
      <c r="BD30" s="3"/>
    </row>
    <row r="31" spans="1:56" ht="30" customHeight="1" thickBot="1" x14ac:dyDescent="0.3">
      <c r="A31" s="49" t="s">
        <v>54</v>
      </c>
      <c r="B31" s="6"/>
      <c r="C31" s="40">
        <f t="shared" si="0"/>
        <v>3</v>
      </c>
      <c r="D31" s="47">
        <f t="shared" ref="D31" si="9">SUM(G31:AI32)-K31-L31-L32+(K31/10)+(L31/10)+(L32/10)</f>
        <v>4</v>
      </c>
      <c r="E31" s="18"/>
      <c r="F31" s="18"/>
      <c r="G31" s="43"/>
      <c r="H31" s="28"/>
      <c r="I31" s="45"/>
      <c r="J31" s="28"/>
      <c r="K31" s="45"/>
      <c r="L31" s="28"/>
      <c r="M31" s="45"/>
      <c r="N31" s="28"/>
      <c r="O31" s="45"/>
      <c r="P31" s="28"/>
      <c r="Q31" s="28"/>
      <c r="R31" s="28"/>
      <c r="S31" s="28"/>
      <c r="T31" s="28"/>
      <c r="U31" s="28"/>
      <c r="V31" s="28"/>
      <c r="W31" s="43"/>
      <c r="X31" s="28"/>
      <c r="Y31" s="43"/>
      <c r="Z31" s="28"/>
      <c r="AA31" s="45"/>
      <c r="AB31" s="28"/>
      <c r="AC31" s="45"/>
      <c r="AD31" s="28"/>
      <c r="AE31" s="45"/>
      <c r="AF31" s="28"/>
      <c r="AG31" s="43"/>
      <c r="AH31" s="28"/>
      <c r="AI31" s="20">
        <v>3</v>
      </c>
      <c r="AJ31" s="21"/>
      <c r="AK31" s="21"/>
      <c r="AL31" s="21"/>
      <c r="AM31" s="21"/>
      <c r="AN31" s="21"/>
      <c r="AO31" s="21"/>
      <c r="AP31" s="21"/>
      <c r="AQ31" s="21"/>
      <c r="AR31" s="21"/>
      <c r="AS31" s="21"/>
      <c r="AT31" s="21"/>
      <c r="AU31" s="21"/>
      <c r="AV31" s="21"/>
      <c r="AW31" s="21"/>
      <c r="AX31" s="21"/>
      <c r="AY31" s="21"/>
      <c r="AZ31" s="3"/>
      <c r="BA31" s="3"/>
      <c r="BB31" s="3"/>
      <c r="BC31" s="3"/>
      <c r="BD31" s="3"/>
    </row>
    <row r="32" spans="1:56" ht="30" customHeight="1" thickBot="1" x14ac:dyDescent="0.3">
      <c r="A32" s="50"/>
      <c r="B32" s="8"/>
      <c r="C32" s="40">
        <f t="shared" si="0"/>
        <v>1</v>
      </c>
      <c r="D32" s="48"/>
      <c r="E32" s="42"/>
      <c r="F32" s="42"/>
      <c r="G32" s="44"/>
      <c r="H32" s="31"/>
      <c r="I32" s="46"/>
      <c r="J32" s="31"/>
      <c r="K32" s="46"/>
      <c r="L32" s="31"/>
      <c r="M32" s="46"/>
      <c r="N32" s="31"/>
      <c r="O32" s="46"/>
      <c r="P32" s="31"/>
      <c r="Q32" s="31"/>
      <c r="R32" s="31"/>
      <c r="S32" s="31"/>
      <c r="T32" s="31"/>
      <c r="U32" s="31"/>
      <c r="V32" s="31"/>
      <c r="W32" s="44"/>
      <c r="X32" s="31"/>
      <c r="Y32" s="44"/>
      <c r="Z32" s="31"/>
      <c r="AA32" s="46"/>
      <c r="AB32" s="31"/>
      <c r="AC32" s="46"/>
      <c r="AD32" s="31"/>
      <c r="AE32" s="46"/>
      <c r="AF32" s="31"/>
      <c r="AG32" s="44"/>
      <c r="AH32" s="31"/>
      <c r="AI32" s="23">
        <v>1</v>
      </c>
      <c r="AJ32" s="4"/>
      <c r="AK32" s="4"/>
      <c r="AL32" s="4"/>
      <c r="AM32" s="4"/>
      <c r="AN32" s="4"/>
      <c r="AO32" s="4"/>
      <c r="AP32" s="4"/>
      <c r="AQ32" s="4"/>
      <c r="AR32" s="4"/>
      <c r="AS32" s="4"/>
      <c r="AT32" s="4"/>
      <c r="AU32" s="4"/>
      <c r="AV32" s="4"/>
      <c r="AW32" s="4"/>
      <c r="AX32" s="4"/>
      <c r="AY32" s="4"/>
      <c r="AZ32" s="3"/>
      <c r="BA32" s="3"/>
      <c r="BB32" s="3"/>
      <c r="BC32" s="3"/>
      <c r="BD32" s="3"/>
    </row>
    <row r="33" spans="1:35" ht="30" customHeight="1" thickBot="1" x14ac:dyDescent="0.3">
      <c r="A33" s="49" t="s">
        <v>55</v>
      </c>
      <c r="C33" s="40">
        <f t="shared" si="0"/>
        <v>9.1</v>
      </c>
      <c r="D33" s="47">
        <f t="shared" ref="D33" si="10">SUM(G33:AI34)-K33-L33-L34+(K33/10)+(L33/10)+(L34/10)</f>
        <v>11.1</v>
      </c>
      <c r="E33" s="1"/>
      <c r="F33" s="1"/>
      <c r="G33" s="43"/>
      <c r="H33" s="1"/>
      <c r="I33" s="45"/>
      <c r="J33" s="1">
        <v>1</v>
      </c>
      <c r="K33" s="45"/>
      <c r="L33" s="1">
        <v>1</v>
      </c>
      <c r="M33" s="45"/>
      <c r="N33" s="1">
        <v>1</v>
      </c>
      <c r="O33" s="45"/>
      <c r="P33" s="1">
        <v>1</v>
      </c>
      <c r="Q33" s="1"/>
      <c r="R33" s="1"/>
      <c r="S33" s="1">
        <v>2</v>
      </c>
      <c r="T33" s="1">
        <v>1</v>
      </c>
      <c r="U33" s="1"/>
      <c r="V33" s="1"/>
      <c r="W33" s="43"/>
      <c r="X33" s="1"/>
      <c r="Y33" s="43"/>
      <c r="Z33" s="1"/>
      <c r="AA33" s="45"/>
      <c r="AB33" s="1"/>
      <c r="AC33" s="45"/>
      <c r="AD33" s="1"/>
      <c r="AE33" s="45"/>
      <c r="AF33" s="1"/>
      <c r="AG33" s="43">
        <v>2</v>
      </c>
      <c r="AH33" s="1">
        <v>3</v>
      </c>
      <c r="AI33" s="38"/>
    </row>
    <row r="34" spans="1:35" ht="30" customHeight="1" thickBot="1" x14ac:dyDescent="0.3">
      <c r="A34" s="50"/>
      <c r="C34" s="40">
        <f t="shared" si="0"/>
        <v>0</v>
      </c>
      <c r="D34" s="48"/>
      <c r="E34" s="1"/>
      <c r="F34" s="1"/>
      <c r="G34" s="44"/>
      <c r="H34" s="1"/>
      <c r="I34" s="46"/>
      <c r="J34" s="1"/>
      <c r="K34" s="46"/>
      <c r="L34" s="1"/>
      <c r="M34" s="46"/>
      <c r="N34" s="1"/>
      <c r="O34" s="46"/>
      <c r="P34" s="1"/>
      <c r="Q34" s="1"/>
      <c r="R34" s="1"/>
      <c r="S34" s="1"/>
      <c r="T34" s="1"/>
      <c r="U34" s="1"/>
      <c r="V34" s="1"/>
      <c r="W34" s="44"/>
      <c r="X34" s="1"/>
      <c r="Y34" s="44"/>
      <c r="Z34" s="1"/>
      <c r="AA34" s="46"/>
      <c r="AB34" s="1"/>
      <c r="AC34" s="46"/>
      <c r="AD34" s="1"/>
      <c r="AE34" s="46"/>
      <c r="AF34" s="1"/>
      <c r="AG34" s="44"/>
      <c r="AH34" s="1"/>
      <c r="AI34" s="1"/>
    </row>
    <row r="35" spans="1:35" ht="30" customHeight="1" thickBot="1" x14ac:dyDescent="0.3">
      <c r="A35" s="49" t="s">
        <v>54</v>
      </c>
      <c r="C35" s="40">
        <f t="shared" si="0"/>
        <v>0</v>
      </c>
      <c r="D35" s="47">
        <f t="shared" ref="D35" si="11">SUM(G35:AI36)-K35-L35-L36+(K35/10)+(L35/10)+(L36/10)</f>
        <v>0</v>
      </c>
      <c r="E35" s="1"/>
      <c r="F35" s="1"/>
      <c r="G35" s="43"/>
      <c r="H35" s="1"/>
      <c r="I35" s="45"/>
      <c r="J35" s="1"/>
      <c r="K35" s="45"/>
      <c r="L35" s="1"/>
      <c r="M35" s="45"/>
      <c r="N35" s="1"/>
      <c r="O35" s="45"/>
      <c r="P35" s="1"/>
      <c r="Q35" s="1"/>
      <c r="R35" s="1"/>
      <c r="S35" s="1"/>
      <c r="T35" s="1"/>
      <c r="U35" s="1"/>
      <c r="V35" s="1"/>
      <c r="W35" s="43"/>
      <c r="X35" s="1"/>
      <c r="Y35" s="43"/>
      <c r="Z35" s="1"/>
      <c r="AA35" s="45"/>
      <c r="AB35" s="1"/>
      <c r="AC35" s="45"/>
      <c r="AD35" s="1"/>
      <c r="AE35" s="45"/>
      <c r="AF35" s="1"/>
      <c r="AG35" s="43"/>
      <c r="AH35" s="1"/>
      <c r="AI35" s="1"/>
    </row>
    <row r="36" spans="1:35" ht="30" customHeight="1" thickBot="1" x14ac:dyDescent="0.3">
      <c r="A36" s="50"/>
      <c r="C36" s="40">
        <f t="shared" si="0"/>
        <v>0</v>
      </c>
      <c r="D36" s="48"/>
      <c r="E36" s="1"/>
      <c r="F36" s="1"/>
      <c r="G36" s="44"/>
      <c r="H36" s="1"/>
      <c r="I36" s="46"/>
      <c r="J36" s="1"/>
      <c r="K36" s="46"/>
      <c r="L36" s="1"/>
      <c r="M36" s="46"/>
      <c r="N36" s="1"/>
      <c r="O36" s="46"/>
      <c r="P36" s="1"/>
      <c r="Q36" s="1"/>
      <c r="R36" s="1"/>
      <c r="S36" s="1"/>
      <c r="T36" s="1"/>
      <c r="U36" s="1"/>
      <c r="V36" s="1"/>
      <c r="W36" s="44"/>
      <c r="X36" s="1"/>
      <c r="Y36" s="44"/>
      <c r="Z36" s="1"/>
      <c r="AA36" s="46"/>
      <c r="AB36" s="1"/>
      <c r="AC36" s="46"/>
      <c r="AD36" s="1"/>
      <c r="AE36" s="46"/>
      <c r="AF36" s="1"/>
      <c r="AG36" s="44"/>
      <c r="AH36" s="1"/>
      <c r="AI36" s="1"/>
    </row>
    <row r="37" spans="1:35" ht="30" customHeight="1" thickBot="1" x14ac:dyDescent="0.3">
      <c r="A37" s="49" t="s">
        <v>54</v>
      </c>
      <c r="C37" s="40">
        <f t="shared" si="0"/>
        <v>0</v>
      </c>
      <c r="D37" s="47">
        <f t="shared" ref="D37" si="12">SUM(G37:AI38)-K37-L37-L38+(K37/10)+(L37/10)+(L38/10)</f>
        <v>0</v>
      </c>
      <c r="E37" s="1"/>
      <c r="F37" s="1"/>
      <c r="G37" s="43"/>
      <c r="H37" s="1"/>
      <c r="I37" s="45"/>
      <c r="J37" s="1"/>
      <c r="K37" s="45"/>
      <c r="L37" s="1"/>
      <c r="M37" s="45"/>
      <c r="N37" s="1"/>
      <c r="O37" s="45"/>
      <c r="P37" s="1"/>
      <c r="Q37" s="1"/>
      <c r="R37" s="1"/>
      <c r="S37" s="1"/>
      <c r="T37" s="1"/>
      <c r="U37" s="1"/>
      <c r="V37" s="1"/>
      <c r="W37" s="43"/>
      <c r="X37" s="1"/>
      <c r="Y37" s="43"/>
      <c r="Z37" s="1"/>
      <c r="AA37" s="45"/>
      <c r="AB37" s="1"/>
      <c r="AC37" s="45"/>
      <c r="AD37" s="1"/>
      <c r="AE37" s="45"/>
      <c r="AF37" s="1"/>
      <c r="AG37" s="43"/>
      <c r="AH37" s="1"/>
      <c r="AI37" s="1"/>
    </row>
    <row r="38" spans="1:35" ht="30" customHeight="1" thickBot="1" x14ac:dyDescent="0.3">
      <c r="A38" s="50"/>
      <c r="C38" s="40">
        <f t="shared" si="0"/>
        <v>0</v>
      </c>
      <c r="D38" s="48"/>
      <c r="E38" s="1"/>
      <c r="F38" s="1"/>
      <c r="G38" s="44"/>
      <c r="H38" s="1"/>
      <c r="I38" s="46"/>
      <c r="J38" s="1"/>
      <c r="K38" s="46"/>
      <c r="L38" s="1"/>
      <c r="M38" s="46"/>
      <c r="N38" s="1"/>
      <c r="O38" s="46"/>
      <c r="P38" s="1"/>
      <c r="Q38" s="1"/>
      <c r="R38" s="1"/>
      <c r="S38" s="1"/>
      <c r="T38" s="1"/>
      <c r="U38" s="1"/>
      <c r="V38" s="1"/>
      <c r="W38" s="44"/>
      <c r="X38" s="1"/>
      <c r="Y38" s="44"/>
      <c r="Z38" s="1"/>
      <c r="AA38" s="46"/>
      <c r="AB38" s="1"/>
      <c r="AC38" s="46"/>
      <c r="AD38" s="1"/>
      <c r="AE38" s="46"/>
      <c r="AF38" s="1"/>
      <c r="AG38" s="44"/>
      <c r="AH38" s="1"/>
      <c r="AI38" s="1"/>
    </row>
    <row r="39" spans="1:35" ht="30" customHeight="1" thickBot="1" x14ac:dyDescent="0.3">
      <c r="A39" s="49" t="s">
        <v>54</v>
      </c>
      <c r="C39" s="40">
        <f t="shared" si="0"/>
        <v>0</v>
      </c>
      <c r="D39" s="47">
        <f t="shared" ref="D39" si="13">SUM(G39:AI40)-K39-L39-L40+(K39/10)+(L39/10)+(L40/10)</f>
        <v>0</v>
      </c>
      <c r="E39" s="1"/>
      <c r="F39" s="1"/>
      <c r="G39" s="43"/>
      <c r="H39" s="1"/>
      <c r="I39" s="45"/>
      <c r="J39" s="1"/>
      <c r="K39" s="45"/>
      <c r="L39" s="1"/>
      <c r="M39" s="45"/>
      <c r="N39" s="1"/>
      <c r="O39" s="45"/>
      <c r="P39" s="1"/>
      <c r="Q39" s="1"/>
      <c r="R39" s="1"/>
      <c r="S39" s="1"/>
      <c r="T39" s="1"/>
      <c r="U39" s="1"/>
      <c r="V39" s="1"/>
      <c r="W39" s="43"/>
      <c r="X39" s="1"/>
      <c r="Y39" s="43"/>
      <c r="Z39" s="1"/>
      <c r="AA39" s="45"/>
      <c r="AB39" s="1"/>
      <c r="AC39" s="45"/>
      <c r="AD39" s="1"/>
      <c r="AE39" s="45"/>
      <c r="AF39" s="1"/>
      <c r="AG39" s="43"/>
      <c r="AH39" s="1"/>
      <c r="AI39" s="1"/>
    </row>
    <row r="40" spans="1:35" ht="30" customHeight="1" thickBot="1" x14ac:dyDescent="0.3">
      <c r="A40" s="50"/>
      <c r="C40" s="40">
        <f t="shared" si="0"/>
        <v>0</v>
      </c>
      <c r="D40" s="48"/>
      <c r="E40" s="1"/>
      <c r="F40" s="1"/>
      <c r="G40" s="44"/>
      <c r="H40" s="1"/>
      <c r="I40" s="46"/>
      <c r="J40" s="1"/>
      <c r="K40" s="46"/>
      <c r="L40" s="1"/>
      <c r="M40" s="46"/>
      <c r="N40" s="1"/>
      <c r="O40" s="46"/>
      <c r="P40" s="1"/>
      <c r="Q40" s="1"/>
      <c r="R40" s="1"/>
      <c r="S40" s="1"/>
      <c r="T40" s="1"/>
      <c r="U40" s="1"/>
      <c r="V40" s="1"/>
      <c r="W40" s="44"/>
      <c r="X40" s="1"/>
      <c r="Y40" s="44"/>
      <c r="Z40" s="1"/>
      <c r="AA40" s="46"/>
      <c r="AB40" s="1"/>
      <c r="AC40" s="46"/>
      <c r="AD40" s="1"/>
      <c r="AE40" s="46"/>
      <c r="AF40" s="1"/>
      <c r="AG40" s="44"/>
      <c r="AH40" s="1"/>
      <c r="AI40" s="1"/>
    </row>
    <row r="41" spans="1:35" ht="30" customHeight="1" thickBot="1" x14ac:dyDescent="0.3">
      <c r="A41" s="49" t="s">
        <v>54</v>
      </c>
      <c r="C41" s="40">
        <f t="shared" si="0"/>
        <v>0</v>
      </c>
      <c r="D41" s="47">
        <f t="shared" ref="D41" si="14">SUM(G41:AI42)-K41-L41-L42+(K41/10)+(L41/10)+(L42/10)</f>
        <v>0</v>
      </c>
      <c r="E41" s="1"/>
      <c r="F41" s="1"/>
      <c r="G41" s="43"/>
      <c r="H41" s="1"/>
      <c r="I41" s="45"/>
      <c r="J41" s="1"/>
      <c r="K41" s="45"/>
      <c r="L41" s="1"/>
      <c r="M41" s="45"/>
      <c r="N41" s="1"/>
      <c r="O41" s="45"/>
      <c r="P41" s="1"/>
      <c r="Q41" s="1"/>
      <c r="R41" s="1"/>
      <c r="S41" s="1"/>
      <c r="T41" s="1"/>
      <c r="U41" s="1"/>
      <c r="V41" s="1"/>
      <c r="W41" s="43"/>
      <c r="X41" s="1"/>
      <c r="Y41" s="43"/>
      <c r="Z41" s="1"/>
      <c r="AA41" s="45"/>
      <c r="AB41" s="1"/>
      <c r="AC41" s="45"/>
      <c r="AD41" s="1"/>
      <c r="AE41" s="45"/>
      <c r="AF41" s="1"/>
      <c r="AG41" s="43"/>
      <c r="AH41" s="1"/>
      <c r="AI41" s="1"/>
    </row>
    <row r="42" spans="1:35" ht="30" customHeight="1" thickBot="1" x14ac:dyDescent="0.3">
      <c r="A42" s="50"/>
      <c r="C42" s="40">
        <f t="shared" si="0"/>
        <v>0</v>
      </c>
      <c r="D42" s="48"/>
      <c r="E42" s="1"/>
      <c r="F42" s="1"/>
      <c r="G42" s="44"/>
      <c r="H42" s="1"/>
      <c r="I42" s="46"/>
      <c r="J42" s="1"/>
      <c r="K42" s="46"/>
      <c r="L42" s="1"/>
      <c r="M42" s="46"/>
      <c r="N42" s="1"/>
      <c r="O42" s="46"/>
      <c r="P42" s="1"/>
      <c r="Q42" s="1"/>
      <c r="R42" s="1"/>
      <c r="S42" s="1"/>
      <c r="T42" s="1"/>
      <c r="U42" s="1"/>
      <c r="V42" s="1"/>
      <c r="W42" s="44"/>
      <c r="X42" s="1"/>
      <c r="Y42" s="44"/>
      <c r="Z42" s="1"/>
      <c r="AA42" s="46"/>
      <c r="AB42" s="1"/>
      <c r="AC42" s="46"/>
      <c r="AD42" s="1"/>
      <c r="AE42" s="46"/>
      <c r="AF42" s="1"/>
      <c r="AG42" s="44"/>
      <c r="AH42" s="1"/>
      <c r="AI42" s="1"/>
    </row>
    <row r="43" spans="1:35" ht="30" customHeight="1" thickBot="1" x14ac:dyDescent="0.3">
      <c r="A43" s="49" t="s">
        <v>54</v>
      </c>
      <c r="C43" s="40">
        <f t="shared" si="0"/>
        <v>0</v>
      </c>
      <c r="D43" s="47">
        <f t="shared" ref="D43" si="15">SUM(G43:AI44)-K43-L43-L44+(K43/10)+(L43/10)+(L44/10)</f>
        <v>0</v>
      </c>
      <c r="E43" s="1"/>
      <c r="F43" s="1"/>
      <c r="G43" s="43"/>
      <c r="H43" s="1"/>
      <c r="I43" s="45"/>
      <c r="J43" s="1"/>
      <c r="K43" s="45"/>
      <c r="L43" s="1"/>
      <c r="M43" s="45"/>
      <c r="N43" s="1"/>
      <c r="O43" s="45"/>
      <c r="P43" s="1"/>
      <c r="Q43" s="1"/>
      <c r="R43" s="1"/>
      <c r="S43" s="1"/>
      <c r="T43" s="1"/>
      <c r="U43" s="1"/>
      <c r="V43" s="1"/>
      <c r="W43" s="43"/>
      <c r="X43" s="1"/>
      <c r="Y43" s="43"/>
      <c r="Z43" s="1"/>
      <c r="AA43" s="45"/>
      <c r="AB43" s="1"/>
      <c r="AC43" s="45"/>
      <c r="AD43" s="1"/>
      <c r="AE43" s="45"/>
      <c r="AF43" s="1"/>
      <c r="AG43" s="43"/>
      <c r="AH43" s="1"/>
      <c r="AI43" s="1"/>
    </row>
    <row r="44" spans="1:35" ht="30" customHeight="1" thickBot="1" x14ac:dyDescent="0.3">
      <c r="A44" s="50"/>
      <c r="C44" s="40">
        <f t="shared" si="0"/>
        <v>0</v>
      </c>
      <c r="D44" s="48"/>
      <c r="E44" s="1"/>
      <c r="F44" s="1"/>
      <c r="G44" s="44"/>
      <c r="H44" s="1"/>
      <c r="I44" s="46"/>
      <c r="J44" s="1"/>
      <c r="K44" s="46"/>
      <c r="L44" s="1"/>
      <c r="M44" s="46"/>
      <c r="N44" s="1"/>
      <c r="O44" s="46"/>
      <c r="P44" s="1"/>
      <c r="Q44" s="1"/>
      <c r="R44" s="1"/>
      <c r="S44" s="1"/>
      <c r="T44" s="1"/>
      <c r="U44" s="1"/>
      <c r="V44" s="1"/>
      <c r="W44" s="44"/>
      <c r="X44" s="1"/>
      <c r="Y44" s="44"/>
      <c r="Z44" s="1"/>
      <c r="AA44" s="46"/>
      <c r="AB44" s="1"/>
      <c r="AC44" s="46"/>
      <c r="AD44" s="1"/>
      <c r="AE44" s="46"/>
      <c r="AF44" s="1"/>
      <c r="AG44" s="44"/>
      <c r="AH44" s="1"/>
      <c r="AI44" s="1"/>
    </row>
    <row r="45" spans="1:35" ht="30" customHeight="1" thickBot="1" x14ac:dyDescent="0.3">
      <c r="A45" s="49" t="s">
        <v>54</v>
      </c>
      <c r="C45" s="40">
        <f t="shared" si="0"/>
        <v>0</v>
      </c>
      <c r="D45" s="47">
        <f t="shared" ref="D45" si="16">SUM(G45:AI46)-K45-L45-L46+(K45/10)+(L45/10)+(L46/10)</f>
        <v>0</v>
      </c>
      <c r="E45" s="1"/>
      <c r="F45" s="1"/>
      <c r="G45" s="43"/>
      <c r="H45" s="1"/>
      <c r="I45" s="45"/>
      <c r="J45" s="1"/>
      <c r="K45" s="45"/>
      <c r="L45" s="1"/>
      <c r="M45" s="45"/>
      <c r="N45" s="1"/>
      <c r="O45" s="45"/>
      <c r="P45" s="1"/>
      <c r="Q45" s="1"/>
      <c r="R45" s="1"/>
      <c r="S45" s="1"/>
      <c r="T45" s="1"/>
      <c r="U45" s="1"/>
      <c r="V45" s="1"/>
      <c r="W45" s="43"/>
      <c r="X45" s="1"/>
      <c r="Y45" s="43"/>
      <c r="Z45" s="1"/>
      <c r="AA45" s="45"/>
      <c r="AB45" s="1"/>
      <c r="AC45" s="45"/>
      <c r="AD45" s="1"/>
      <c r="AE45" s="45"/>
      <c r="AF45" s="1"/>
      <c r="AG45" s="43"/>
      <c r="AH45" s="1"/>
      <c r="AI45" s="1"/>
    </row>
    <row r="46" spans="1:35" ht="30" customHeight="1" thickBot="1" x14ac:dyDescent="0.3">
      <c r="A46" s="50"/>
      <c r="C46" s="40">
        <f t="shared" si="0"/>
        <v>0</v>
      </c>
      <c r="D46" s="48"/>
      <c r="E46" s="1"/>
      <c r="F46" s="1"/>
      <c r="G46" s="44"/>
      <c r="H46" s="1"/>
      <c r="I46" s="46"/>
      <c r="J46" s="1"/>
      <c r="K46" s="46"/>
      <c r="L46" s="1"/>
      <c r="M46" s="46"/>
      <c r="N46" s="1"/>
      <c r="O46" s="46"/>
      <c r="P46" s="1"/>
      <c r="Q46" s="1"/>
      <c r="R46" s="1"/>
      <c r="S46" s="1"/>
      <c r="T46" s="1"/>
      <c r="U46" s="1"/>
      <c r="V46" s="1"/>
      <c r="W46" s="44"/>
      <c r="X46" s="1"/>
      <c r="Y46" s="44"/>
      <c r="Z46" s="1"/>
      <c r="AA46" s="46"/>
      <c r="AB46" s="1"/>
      <c r="AC46" s="46"/>
      <c r="AD46" s="1"/>
      <c r="AE46" s="46"/>
      <c r="AF46" s="1"/>
      <c r="AG46" s="44"/>
      <c r="AH46" s="1"/>
      <c r="AI46" s="1"/>
    </row>
    <row r="47" spans="1:35" ht="30" customHeight="1" thickBot="1" x14ac:dyDescent="0.3">
      <c r="A47" s="49" t="s">
        <v>54</v>
      </c>
      <c r="C47" s="40">
        <f t="shared" si="0"/>
        <v>0</v>
      </c>
      <c r="D47" s="47">
        <f t="shared" ref="D47" si="17">SUM(G47:AI48)-K47-L47-L48+(K47/10)+(L47/10)+(L48/10)</f>
        <v>0</v>
      </c>
      <c r="E47" s="1"/>
      <c r="F47" s="1"/>
      <c r="G47" s="43"/>
      <c r="H47" s="1"/>
      <c r="I47" s="45"/>
      <c r="J47" s="1"/>
      <c r="K47" s="45"/>
      <c r="L47" s="1"/>
      <c r="M47" s="45"/>
      <c r="N47" s="1"/>
      <c r="O47" s="45"/>
      <c r="P47" s="1"/>
      <c r="Q47" s="1"/>
      <c r="R47" s="1"/>
      <c r="S47" s="1"/>
      <c r="T47" s="1"/>
      <c r="U47" s="1"/>
      <c r="V47" s="1"/>
      <c r="W47" s="43"/>
      <c r="X47" s="1"/>
      <c r="Y47" s="43"/>
      <c r="Z47" s="1"/>
      <c r="AA47" s="45"/>
      <c r="AB47" s="1"/>
      <c r="AC47" s="45"/>
      <c r="AD47" s="1"/>
      <c r="AE47" s="45"/>
      <c r="AF47" s="1"/>
      <c r="AG47" s="43"/>
      <c r="AH47" s="1"/>
      <c r="AI47" s="1"/>
    </row>
    <row r="48" spans="1:35" ht="30" customHeight="1" thickBot="1" x14ac:dyDescent="0.3">
      <c r="A48" s="50"/>
      <c r="C48" s="40">
        <f t="shared" si="0"/>
        <v>0</v>
      </c>
      <c r="D48" s="48"/>
      <c r="E48" s="1"/>
      <c r="F48" s="1"/>
      <c r="G48" s="44"/>
      <c r="H48" s="1"/>
      <c r="I48" s="46"/>
      <c r="J48" s="1"/>
      <c r="K48" s="46"/>
      <c r="L48" s="1"/>
      <c r="M48" s="46"/>
      <c r="N48" s="1"/>
      <c r="O48" s="46"/>
      <c r="P48" s="1"/>
      <c r="Q48" s="1"/>
      <c r="R48" s="1"/>
      <c r="S48" s="1"/>
      <c r="T48" s="1"/>
      <c r="U48" s="1"/>
      <c r="V48" s="1"/>
      <c r="W48" s="44"/>
      <c r="X48" s="1"/>
      <c r="Y48" s="44"/>
      <c r="Z48" s="1"/>
      <c r="AA48" s="46"/>
      <c r="AB48" s="1"/>
      <c r="AC48" s="46"/>
      <c r="AD48" s="1"/>
      <c r="AE48" s="46"/>
      <c r="AF48" s="1"/>
      <c r="AG48" s="44"/>
      <c r="AH48" s="1"/>
      <c r="AI48" s="1"/>
    </row>
    <row r="49" spans="1:35" ht="30" customHeight="1" thickBot="1" x14ac:dyDescent="0.3">
      <c r="A49" s="49" t="s">
        <v>54</v>
      </c>
      <c r="C49" s="40">
        <f t="shared" si="0"/>
        <v>0</v>
      </c>
      <c r="D49" s="47">
        <f t="shared" ref="D49" si="18">SUM(G49:AI50)-K49-L49-L50+(K49/10)+(L49/10)+(L50/10)</f>
        <v>0</v>
      </c>
      <c r="E49" s="1"/>
      <c r="F49" s="1"/>
      <c r="G49" s="43"/>
      <c r="H49" s="1"/>
      <c r="I49" s="45"/>
      <c r="J49" s="1"/>
      <c r="K49" s="45"/>
      <c r="L49" s="1"/>
      <c r="M49" s="45"/>
      <c r="N49" s="1"/>
      <c r="O49" s="45"/>
      <c r="P49" s="1"/>
      <c r="Q49" s="1"/>
      <c r="R49" s="1"/>
      <c r="S49" s="1"/>
      <c r="T49" s="1"/>
      <c r="U49" s="1"/>
      <c r="V49" s="1"/>
      <c r="W49" s="43"/>
      <c r="X49" s="1"/>
      <c r="Y49" s="43"/>
      <c r="Z49" s="1"/>
      <c r="AA49" s="45"/>
      <c r="AB49" s="1"/>
      <c r="AC49" s="45"/>
      <c r="AD49" s="1"/>
      <c r="AE49" s="45"/>
      <c r="AF49" s="1"/>
      <c r="AG49" s="43"/>
      <c r="AH49" s="1"/>
      <c r="AI49" s="1"/>
    </row>
    <row r="50" spans="1:35" ht="30" customHeight="1" thickBot="1" x14ac:dyDescent="0.3">
      <c r="A50" s="50"/>
      <c r="C50" s="40">
        <f t="shared" si="0"/>
        <v>0</v>
      </c>
      <c r="D50" s="48"/>
      <c r="E50" s="1"/>
      <c r="F50" s="1"/>
      <c r="G50" s="44"/>
      <c r="H50" s="1"/>
      <c r="I50" s="46"/>
      <c r="J50" s="1"/>
      <c r="K50" s="46"/>
      <c r="L50" s="1"/>
      <c r="M50" s="46"/>
      <c r="N50" s="1"/>
      <c r="O50" s="46"/>
      <c r="P50" s="1"/>
      <c r="Q50" s="1"/>
      <c r="R50" s="1"/>
      <c r="S50" s="1"/>
      <c r="T50" s="1"/>
      <c r="U50" s="1"/>
      <c r="V50" s="1"/>
      <c r="W50" s="44"/>
      <c r="X50" s="1"/>
      <c r="Y50" s="44"/>
      <c r="Z50" s="1"/>
      <c r="AA50" s="46"/>
      <c r="AB50" s="1"/>
      <c r="AC50" s="46"/>
      <c r="AD50" s="1"/>
      <c r="AE50" s="46"/>
      <c r="AF50" s="1"/>
      <c r="AG50" s="44"/>
      <c r="AH50" s="1"/>
      <c r="AI50" s="1"/>
    </row>
    <row r="51" spans="1:35" ht="30" customHeight="1" thickBot="1" x14ac:dyDescent="0.3">
      <c r="A51" s="49" t="s">
        <v>54</v>
      </c>
      <c r="C51" s="40">
        <f t="shared" si="0"/>
        <v>0</v>
      </c>
      <c r="D51" s="47">
        <f t="shared" ref="D51" si="19">SUM(G51:AI52)-K51-L51-L52+(K51/10)+(L51/10)+(L52/10)</f>
        <v>0</v>
      </c>
      <c r="E51" s="1"/>
      <c r="F51" s="1"/>
      <c r="G51" s="43"/>
      <c r="H51" s="1"/>
      <c r="I51" s="45"/>
      <c r="J51" s="1"/>
      <c r="K51" s="45"/>
      <c r="L51" s="1"/>
      <c r="M51" s="45"/>
      <c r="N51" s="1"/>
      <c r="O51" s="45"/>
      <c r="P51" s="1"/>
      <c r="Q51" s="1"/>
      <c r="R51" s="1"/>
      <c r="S51" s="1"/>
      <c r="T51" s="1"/>
      <c r="U51" s="1"/>
      <c r="V51" s="1"/>
      <c r="W51" s="43"/>
      <c r="X51" s="1"/>
      <c r="Y51" s="43"/>
      <c r="Z51" s="1"/>
      <c r="AA51" s="45"/>
      <c r="AB51" s="1"/>
      <c r="AC51" s="45"/>
      <c r="AD51" s="1"/>
      <c r="AE51" s="45"/>
      <c r="AF51" s="1"/>
      <c r="AG51" s="43"/>
      <c r="AH51" s="1"/>
      <c r="AI51" s="1"/>
    </row>
    <row r="52" spans="1:35" ht="30" customHeight="1" thickBot="1" x14ac:dyDescent="0.3">
      <c r="A52" s="50"/>
      <c r="C52" s="40">
        <f t="shared" si="0"/>
        <v>0</v>
      </c>
      <c r="D52" s="48"/>
      <c r="E52" s="1"/>
      <c r="F52" s="1"/>
      <c r="G52" s="44"/>
      <c r="H52" s="1"/>
      <c r="I52" s="46"/>
      <c r="J52" s="1"/>
      <c r="K52" s="46"/>
      <c r="L52" s="1"/>
      <c r="M52" s="46"/>
      <c r="N52" s="1"/>
      <c r="O52" s="46"/>
      <c r="P52" s="1"/>
      <c r="Q52" s="1"/>
      <c r="R52" s="1"/>
      <c r="S52" s="1"/>
      <c r="T52" s="1"/>
      <c r="U52" s="1"/>
      <c r="V52" s="1"/>
      <c r="W52" s="44"/>
      <c r="X52" s="1"/>
      <c r="Y52" s="44"/>
      <c r="Z52" s="1"/>
      <c r="AA52" s="46"/>
      <c r="AB52" s="1"/>
      <c r="AC52" s="46"/>
      <c r="AD52" s="1"/>
      <c r="AE52" s="46"/>
      <c r="AF52" s="1"/>
      <c r="AG52" s="44"/>
      <c r="AH52" s="1"/>
      <c r="AI52" s="1"/>
    </row>
    <row r="53" spans="1:35" ht="30" customHeight="1" thickBot="1" x14ac:dyDescent="0.3">
      <c r="A53" s="49" t="s">
        <v>54</v>
      </c>
      <c r="C53" s="40">
        <f t="shared" si="0"/>
        <v>0</v>
      </c>
      <c r="D53" s="47">
        <f t="shared" ref="D53" si="20">SUM(G53:AI54)-K53-L53-L54+(K53/10)+(L53/10)+(L54/10)</f>
        <v>0</v>
      </c>
      <c r="E53" s="1"/>
      <c r="F53" s="1"/>
      <c r="G53" s="43"/>
      <c r="H53" s="1"/>
      <c r="I53" s="45"/>
      <c r="J53" s="1"/>
      <c r="K53" s="45"/>
      <c r="L53" s="1"/>
      <c r="M53" s="45"/>
      <c r="N53" s="1"/>
      <c r="O53" s="45"/>
      <c r="P53" s="1"/>
      <c r="Q53" s="1"/>
      <c r="R53" s="1"/>
      <c r="S53" s="1"/>
      <c r="T53" s="1"/>
      <c r="U53" s="1"/>
      <c r="V53" s="1"/>
      <c r="W53" s="43"/>
      <c r="X53" s="1"/>
      <c r="Y53" s="43"/>
      <c r="Z53" s="1"/>
      <c r="AA53" s="45"/>
      <c r="AB53" s="1"/>
      <c r="AC53" s="45"/>
      <c r="AD53" s="1"/>
      <c r="AE53" s="45"/>
      <c r="AF53" s="1"/>
      <c r="AG53" s="43"/>
      <c r="AH53" s="1"/>
      <c r="AI53" s="1"/>
    </row>
    <row r="54" spans="1:35" ht="30" customHeight="1" thickBot="1" x14ac:dyDescent="0.3">
      <c r="A54" s="50"/>
      <c r="C54" s="40">
        <f t="shared" si="0"/>
        <v>0</v>
      </c>
      <c r="D54" s="48"/>
      <c r="E54" s="1"/>
      <c r="F54" s="1"/>
      <c r="G54" s="44"/>
      <c r="H54" s="1"/>
      <c r="I54" s="46"/>
      <c r="J54" s="1"/>
      <c r="K54" s="46"/>
      <c r="L54" s="1"/>
      <c r="M54" s="46"/>
      <c r="N54" s="1"/>
      <c r="O54" s="46"/>
      <c r="P54" s="1"/>
      <c r="Q54" s="1"/>
      <c r="R54" s="1"/>
      <c r="S54" s="1"/>
      <c r="T54" s="1"/>
      <c r="U54" s="1"/>
      <c r="V54" s="1"/>
      <c r="W54" s="44"/>
      <c r="X54" s="1"/>
      <c r="Y54" s="44"/>
      <c r="Z54" s="1"/>
      <c r="AA54" s="46"/>
      <c r="AB54" s="1"/>
      <c r="AC54" s="46"/>
      <c r="AD54" s="1"/>
      <c r="AE54" s="46"/>
      <c r="AF54" s="1"/>
      <c r="AG54" s="44"/>
      <c r="AH54" s="1"/>
      <c r="AI54" s="1"/>
    </row>
    <row r="55" spans="1:35" ht="30" customHeight="1" thickBot="1" x14ac:dyDescent="0.3">
      <c r="A55" s="49" t="s">
        <v>54</v>
      </c>
      <c r="C55" s="40">
        <f t="shared" si="0"/>
        <v>0</v>
      </c>
      <c r="D55" s="47">
        <f t="shared" ref="D55" si="21">SUM(G55:AI56)-K55-L55-L56+(K55/10)+(L55/10)+(L56/10)</f>
        <v>0</v>
      </c>
      <c r="E55" s="1"/>
      <c r="F55" s="1"/>
      <c r="G55" s="43"/>
      <c r="H55" s="1"/>
      <c r="I55" s="45"/>
      <c r="J55" s="1"/>
      <c r="K55" s="45"/>
      <c r="L55" s="1"/>
      <c r="M55" s="45"/>
      <c r="N55" s="1"/>
      <c r="O55" s="45"/>
      <c r="P55" s="1"/>
      <c r="Q55" s="1"/>
      <c r="R55" s="1"/>
      <c r="S55" s="1"/>
      <c r="T55" s="1"/>
      <c r="U55" s="1"/>
      <c r="V55" s="1"/>
      <c r="W55" s="43"/>
      <c r="X55" s="1"/>
      <c r="Y55" s="43"/>
      <c r="Z55" s="1"/>
      <c r="AA55" s="45"/>
      <c r="AB55" s="1"/>
      <c r="AC55" s="45"/>
      <c r="AD55" s="1"/>
      <c r="AE55" s="45"/>
      <c r="AF55" s="1"/>
      <c r="AG55" s="43"/>
      <c r="AH55" s="1"/>
      <c r="AI55" s="1"/>
    </row>
    <row r="56" spans="1:35" ht="30" customHeight="1" thickBot="1" x14ac:dyDescent="0.3">
      <c r="A56" s="50"/>
      <c r="C56" s="40">
        <f t="shared" si="0"/>
        <v>0</v>
      </c>
      <c r="D56" s="48"/>
      <c r="E56" s="1"/>
      <c r="F56" s="1"/>
      <c r="G56" s="44"/>
      <c r="H56" s="1"/>
      <c r="I56" s="46"/>
      <c r="J56" s="1"/>
      <c r="K56" s="46"/>
      <c r="L56" s="1"/>
      <c r="M56" s="46"/>
      <c r="N56" s="1"/>
      <c r="O56" s="46"/>
      <c r="P56" s="1"/>
      <c r="Q56" s="1"/>
      <c r="R56" s="1"/>
      <c r="S56" s="1"/>
      <c r="T56" s="1"/>
      <c r="U56" s="1"/>
      <c r="V56" s="1"/>
      <c r="W56" s="44"/>
      <c r="X56" s="1"/>
      <c r="Y56" s="44"/>
      <c r="Z56" s="1"/>
      <c r="AA56" s="46"/>
      <c r="AB56" s="1"/>
      <c r="AC56" s="46"/>
      <c r="AD56" s="1"/>
      <c r="AE56" s="46"/>
      <c r="AF56" s="1"/>
      <c r="AG56" s="44"/>
      <c r="AH56" s="1"/>
      <c r="AI56" s="1"/>
    </row>
    <row r="57" spans="1:35" ht="30" customHeight="1" thickBot="1" x14ac:dyDescent="0.3">
      <c r="A57" s="49" t="s">
        <v>54</v>
      </c>
      <c r="C57" s="40">
        <f t="shared" si="0"/>
        <v>0</v>
      </c>
      <c r="D57" s="47">
        <f t="shared" ref="D57" si="22">SUM(G57:AI58)-K57-L57-L58+(K57/10)+(L57/10)+(L58/10)</f>
        <v>0</v>
      </c>
      <c r="E57" s="1"/>
      <c r="F57" s="1"/>
      <c r="G57" s="43"/>
      <c r="H57" s="1"/>
      <c r="I57" s="45"/>
      <c r="J57" s="1"/>
      <c r="K57" s="45"/>
      <c r="L57" s="1"/>
      <c r="M57" s="45"/>
      <c r="N57" s="1"/>
      <c r="O57" s="45"/>
      <c r="P57" s="1"/>
      <c r="Q57" s="1"/>
      <c r="R57" s="1"/>
      <c r="S57" s="1"/>
      <c r="T57" s="1"/>
      <c r="U57" s="1"/>
      <c r="V57" s="1"/>
      <c r="W57" s="43"/>
      <c r="X57" s="1"/>
      <c r="Y57" s="43"/>
      <c r="Z57" s="1"/>
      <c r="AA57" s="45"/>
      <c r="AB57" s="1"/>
      <c r="AC57" s="45"/>
      <c r="AD57" s="1"/>
      <c r="AE57" s="45"/>
      <c r="AF57" s="1"/>
      <c r="AG57" s="43"/>
      <c r="AH57" s="1"/>
      <c r="AI57" s="1"/>
    </row>
    <row r="58" spans="1:35" ht="30" customHeight="1" thickBot="1" x14ac:dyDescent="0.3">
      <c r="A58" s="50"/>
      <c r="C58" s="40">
        <f t="shared" si="0"/>
        <v>0</v>
      </c>
      <c r="D58" s="48"/>
      <c r="E58" s="1"/>
      <c r="F58" s="1"/>
      <c r="G58" s="44"/>
      <c r="H58" s="1"/>
      <c r="I58" s="46"/>
      <c r="J58" s="1"/>
      <c r="K58" s="46"/>
      <c r="L58" s="1"/>
      <c r="M58" s="46"/>
      <c r="N58" s="1"/>
      <c r="O58" s="46"/>
      <c r="P58" s="1"/>
      <c r="Q58" s="1"/>
      <c r="R58" s="1"/>
      <c r="S58" s="1"/>
      <c r="T58" s="1"/>
      <c r="U58" s="1"/>
      <c r="V58" s="1"/>
      <c r="W58" s="44"/>
      <c r="X58" s="1"/>
      <c r="Y58" s="44"/>
      <c r="Z58" s="1"/>
      <c r="AA58" s="46"/>
      <c r="AB58" s="1"/>
      <c r="AC58" s="46"/>
      <c r="AD58" s="1"/>
      <c r="AE58" s="46"/>
      <c r="AF58" s="1"/>
      <c r="AG58" s="44"/>
      <c r="AH58" s="1"/>
      <c r="AI58" s="1"/>
    </row>
    <row r="59" spans="1:35" ht="30" customHeight="1" thickBot="1" x14ac:dyDescent="0.3">
      <c r="A59" s="49" t="s">
        <v>54</v>
      </c>
      <c r="C59" s="40">
        <f t="shared" si="0"/>
        <v>0</v>
      </c>
      <c r="D59" s="47">
        <f t="shared" ref="D59" si="23">SUM(G59:AI60)-K59-L59-L60+(K59/10)+(L59/10)+(L60/10)</f>
        <v>0</v>
      </c>
      <c r="E59" s="1"/>
      <c r="F59" s="1"/>
      <c r="G59" s="43"/>
      <c r="H59" s="1"/>
      <c r="I59" s="45"/>
      <c r="J59" s="1"/>
      <c r="K59" s="45"/>
      <c r="L59" s="1"/>
      <c r="M59" s="45"/>
      <c r="N59" s="1"/>
      <c r="O59" s="45"/>
      <c r="P59" s="1"/>
      <c r="Q59" s="1"/>
      <c r="R59" s="1"/>
      <c r="S59" s="1"/>
      <c r="T59" s="1"/>
      <c r="U59" s="1"/>
      <c r="V59" s="1"/>
      <c r="W59" s="43"/>
      <c r="X59" s="1"/>
      <c r="Y59" s="43"/>
      <c r="Z59" s="1"/>
      <c r="AA59" s="45"/>
      <c r="AB59" s="1"/>
      <c r="AC59" s="45"/>
      <c r="AD59" s="1"/>
      <c r="AE59" s="45"/>
      <c r="AF59" s="1"/>
      <c r="AG59" s="43"/>
      <c r="AH59" s="1"/>
      <c r="AI59" s="1"/>
    </row>
    <row r="60" spans="1:35" ht="30" customHeight="1" thickBot="1" x14ac:dyDescent="0.3">
      <c r="A60" s="50"/>
      <c r="C60" s="40">
        <f t="shared" si="0"/>
        <v>0</v>
      </c>
      <c r="D60" s="48"/>
      <c r="E60" s="1"/>
      <c r="F60" s="1"/>
      <c r="G60" s="44"/>
      <c r="H60" s="1"/>
      <c r="I60" s="46"/>
      <c r="J60" s="1"/>
      <c r="K60" s="46"/>
      <c r="L60" s="1"/>
      <c r="M60" s="46"/>
      <c r="N60" s="1"/>
      <c r="O60" s="46"/>
      <c r="P60" s="1"/>
      <c r="Q60" s="1"/>
      <c r="R60" s="1"/>
      <c r="S60" s="1"/>
      <c r="T60" s="1"/>
      <c r="U60" s="1"/>
      <c r="V60" s="1"/>
      <c r="W60" s="44"/>
      <c r="X60" s="1"/>
      <c r="Y60" s="44"/>
      <c r="Z60" s="1"/>
      <c r="AA60" s="46"/>
      <c r="AB60" s="1"/>
      <c r="AC60" s="46"/>
      <c r="AD60" s="1"/>
      <c r="AE60" s="46"/>
      <c r="AF60" s="1"/>
      <c r="AG60" s="44"/>
      <c r="AH60" s="1"/>
      <c r="AI60" s="1"/>
    </row>
    <row r="61" spans="1:35" ht="30" customHeight="1" thickBot="1" x14ac:dyDescent="0.3">
      <c r="A61" s="49" t="s">
        <v>54</v>
      </c>
      <c r="C61" s="40">
        <f t="shared" si="0"/>
        <v>0</v>
      </c>
      <c r="D61" s="47">
        <f t="shared" ref="D61" si="24">SUM(G61:AI62)-K61-L61-L62+(K61/10)+(L61/10)+(L62/10)</f>
        <v>0</v>
      </c>
      <c r="E61" s="1"/>
      <c r="F61" s="1"/>
      <c r="G61" s="43"/>
      <c r="H61" s="1"/>
      <c r="I61" s="45"/>
      <c r="J61" s="1"/>
      <c r="K61" s="45"/>
      <c r="L61" s="1"/>
      <c r="M61" s="45"/>
      <c r="N61" s="1"/>
      <c r="O61" s="45"/>
      <c r="P61" s="1"/>
      <c r="Q61" s="1"/>
      <c r="R61" s="1"/>
      <c r="S61" s="1"/>
      <c r="T61" s="1"/>
      <c r="U61" s="1"/>
      <c r="V61" s="1"/>
      <c r="W61" s="43"/>
      <c r="X61" s="1"/>
      <c r="Y61" s="43"/>
      <c r="Z61" s="1"/>
      <c r="AA61" s="45"/>
      <c r="AB61" s="1"/>
      <c r="AC61" s="45"/>
      <c r="AD61" s="1"/>
      <c r="AE61" s="45"/>
      <c r="AF61" s="1"/>
      <c r="AG61" s="43"/>
      <c r="AH61" s="1"/>
      <c r="AI61" s="1"/>
    </row>
    <row r="62" spans="1:35" ht="30" customHeight="1" thickBot="1" x14ac:dyDescent="0.3">
      <c r="A62" s="50"/>
      <c r="C62" s="40">
        <f t="shared" si="0"/>
        <v>0</v>
      </c>
      <c r="D62" s="48"/>
      <c r="E62" s="1"/>
      <c r="F62" s="1"/>
      <c r="G62" s="44"/>
      <c r="H62" s="1"/>
      <c r="I62" s="46"/>
      <c r="J62" s="1"/>
      <c r="K62" s="46"/>
      <c r="L62" s="1"/>
      <c r="M62" s="46"/>
      <c r="N62" s="1"/>
      <c r="O62" s="46"/>
      <c r="P62" s="1"/>
      <c r="Q62" s="1"/>
      <c r="R62" s="1"/>
      <c r="S62" s="1"/>
      <c r="T62" s="1"/>
      <c r="U62" s="1"/>
      <c r="V62" s="1"/>
      <c r="W62" s="44"/>
      <c r="X62" s="1"/>
      <c r="Y62" s="44"/>
      <c r="Z62" s="1"/>
      <c r="AA62" s="46"/>
      <c r="AB62" s="1"/>
      <c r="AC62" s="46"/>
      <c r="AD62" s="1"/>
      <c r="AE62" s="46"/>
      <c r="AF62" s="1"/>
      <c r="AG62" s="44"/>
      <c r="AH62" s="1"/>
      <c r="AI62" s="1"/>
    </row>
    <row r="63" spans="1:35" ht="30" customHeight="1" thickBot="1" x14ac:dyDescent="0.3">
      <c r="A63" s="49" t="s">
        <v>54</v>
      </c>
      <c r="C63" s="40">
        <f t="shared" si="0"/>
        <v>0</v>
      </c>
      <c r="D63" s="47">
        <f t="shared" ref="D63" si="25">SUM(G63:AI64)-K63-L63-L64+(K63/10)+(L63/10)+(L64/10)</f>
        <v>0</v>
      </c>
      <c r="E63" s="1"/>
      <c r="F63" s="1"/>
      <c r="G63" s="43"/>
      <c r="H63" s="1"/>
      <c r="I63" s="45"/>
      <c r="J63" s="1"/>
      <c r="K63" s="45"/>
      <c r="L63" s="1"/>
      <c r="M63" s="45"/>
      <c r="N63" s="1"/>
      <c r="O63" s="45"/>
      <c r="P63" s="1"/>
      <c r="Q63" s="1"/>
      <c r="R63" s="1"/>
      <c r="S63" s="1"/>
      <c r="T63" s="1"/>
      <c r="U63" s="1"/>
      <c r="V63" s="1"/>
      <c r="W63" s="43"/>
      <c r="X63" s="1"/>
      <c r="Y63" s="43"/>
      <c r="Z63" s="1"/>
      <c r="AA63" s="45"/>
      <c r="AB63" s="1"/>
      <c r="AC63" s="45"/>
      <c r="AD63" s="1"/>
      <c r="AE63" s="45"/>
      <c r="AF63" s="1"/>
      <c r="AG63" s="43"/>
      <c r="AH63" s="1"/>
      <c r="AI63" s="1"/>
    </row>
    <row r="64" spans="1:35" ht="30" customHeight="1" thickBot="1" x14ac:dyDescent="0.3">
      <c r="A64" s="50"/>
      <c r="C64" s="40">
        <f t="shared" si="0"/>
        <v>0</v>
      </c>
      <c r="D64" s="48"/>
      <c r="E64" s="1"/>
      <c r="F64" s="1"/>
      <c r="G64" s="44"/>
      <c r="H64" s="1"/>
      <c r="I64" s="46"/>
      <c r="J64" s="1"/>
      <c r="K64" s="46"/>
      <c r="L64" s="1"/>
      <c r="M64" s="46"/>
      <c r="N64" s="1"/>
      <c r="O64" s="46"/>
      <c r="P64" s="1"/>
      <c r="Q64" s="1"/>
      <c r="R64" s="1"/>
      <c r="S64" s="1"/>
      <c r="T64" s="1"/>
      <c r="U64" s="1"/>
      <c r="V64" s="1"/>
      <c r="W64" s="44"/>
      <c r="X64" s="1"/>
      <c r="Y64" s="44"/>
      <c r="Z64" s="1"/>
      <c r="AA64" s="46"/>
      <c r="AB64" s="1"/>
      <c r="AC64" s="46"/>
      <c r="AD64" s="1"/>
      <c r="AE64" s="46"/>
      <c r="AF64" s="1"/>
      <c r="AG64" s="44"/>
      <c r="AH64" s="1"/>
      <c r="AI64" s="1"/>
    </row>
    <row r="65" spans="1:35" ht="30" customHeight="1" thickBot="1" x14ac:dyDescent="0.3">
      <c r="A65" s="49" t="s">
        <v>54</v>
      </c>
      <c r="C65" s="40">
        <f t="shared" si="0"/>
        <v>0</v>
      </c>
      <c r="D65" s="47">
        <f t="shared" ref="D65" si="26">SUM(G65:AI66)-K65-L65-L66+(K65/10)+(L65/10)+(L66/10)</f>
        <v>0</v>
      </c>
      <c r="E65" s="1"/>
      <c r="F65" s="1"/>
      <c r="G65" s="43"/>
      <c r="H65" s="1"/>
      <c r="I65" s="45"/>
      <c r="J65" s="1"/>
      <c r="K65" s="45"/>
      <c r="L65" s="1"/>
      <c r="M65" s="45"/>
      <c r="N65" s="1"/>
      <c r="O65" s="45"/>
      <c r="P65" s="1"/>
      <c r="Q65" s="1"/>
      <c r="R65" s="1"/>
      <c r="S65" s="1"/>
      <c r="T65" s="1"/>
      <c r="U65" s="1"/>
      <c r="V65" s="1"/>
      <c r="W65" s="43"/>
      <c r="X65" s="1"/>
      <c r="Y65" s="43"/>
      <c r="Z65" s="1"/>
      <c r="AA65" s="45"/>
      <c r="AB65" s="1"/>
      <c r="AC65" s="45"/>
      <c r="AD65" s="1"/>
      <c r="AE65" s="45"/>
      <c r="AF65" s="1"/>
      <c r="AG65" s="43"/>
      <c r="AH65" s="1"/>
      <c r="AI65" s="1"/>
    </row>
    <row r="66" spans="1:35" ht="30" customHeight="1" thickBot="1" x14ac:dyDescent="0.3">
      <c r="A66" s="50"/>
      <c r="C66" s="40">
        <f t="shared" si="0"/>
        <v>0</v>
      </c>
      <c r="D66" s="48"/>
      <c r="E66" s="1"/>
      <c r="F66" s="1"/>
      <c r="G66" s="44"/>
      <c r="H66" s="1"/>
      <c r="I66" s="46"/>
      <c r="J66" s="1"/>
      <c r="K66" s="46"/>
      <c r="L66" s="1"/>
      <c r="M66" s="46"/>
      <c r="N66" s="1"/>
      <c r="O66" s="46"/>
      <c r="P66" s="1"/>
      <c r="Q66" s="1"/>
      <c r="R66" s="1"/>
      <c r="S66" s="1"/>
      <c r="T66" s="1"/>
      <c r="U66" s="1"/>
      <c r="V66" s="1"/>
      <c r="W66" s="44"/>
      <c r="X66" s="1"/>
      <c r="Y66" s="44"/>
      <c r="Z66" s="1"/>
      <c r="AA66" s="46"/>
      <c r="AB66" s="1"/>
      <c r="AC66" s="46"/>
      <c r="AD66" s="1"/>
      <c r="AE66" s="46"/>
      <c r="AF66" s="1"/>
      <c r="AG66" s="44"/>
      <c r="AH66" s="1"/>
      <c r="AI66" s="1"/>
    </row>
    <row r="67" spans="1:35" ht="30" customHeight="1" thickBot="1" x14ac:dyDescent="0.3">
      <c r="A67" s="49" t="s">
        <v>54</v>
      </c>
      <c r="C67" s="40">
        <f t="shared" si="0"/>
        <v>0</v>
      </c>
      <c r="D67" s="47">
        <f t="shared" ref="D67" si="27">SUM(G67:AI68)-K67-L67-L68+(K67/10)+(L67/10)+(L68/10)</f>
        <v>0</v>
      </c>
      <c r="E67" s="1"/>
      <c r="F67" s="1"/>
      <c r="G67" s="43"/>
      <c r="H67" s="1"/>
      <c r="I67" s="45"/>
      <c r="J67" s="1"/>
      <c r="K67" s="45"/>
      <c r="L67" s="1"/>
      <c r="M67" s="45"/>
      <c r="N67" s="1"/>
      <c r="O67" s="45"/>
      <c r="P67" s="1"/>
      <c r="Q67" s="1"/>
      <c r="R67" s="1"/>
      <c r="S67" s="1"/>
      <c r="T67" s="1"/>
      <c r="U67" s="1"/>
      <c r="V67" s="1"/>
      <c r="W67" s="43"/>
      <c r="X67" s="1"/>
      <c r="Y67" s="43"/>
      <c r="Z67" s="1"/>
      <c r="AA67" s="45"/>
      <c r="AB67" s="1"/>
      <c r="AC67" s="45"/>
      <c r="AD67" s="1"/>
      <c r="AE67" s="45"/>
      <c r="AF67" s="1"/>
      <c r="AG67" s="43"/>
      <c r="AH67" s="1"/>
      <c r="AI67" s="1"/>
    </row>
    <row r="68" spans="1:35" ht="30" customHeight="1" thickBot="1" x14ac:dyDescent="0.3">
      <c r="A68" s="50"/>
      <c r="C68" s="40">
        <f t="shared" si="0"/>
        <v>0</v>
      </c>
      <c r="D68" s="48"/>
      <c r="E68" s="1"/>
      <c r="F68" s="1"/>
      <c r="G68" s="44"/>
      <c r="H68" s="1"/>
      <c r="I68" s="46"/>
      <c r="J68" s="1"/>
      <c r="K68" s="46"/>
      <c r="L68" s="1"/>
      <c r="M68" s="46"/>
      <c r="N68" s="1"/>
      <c r="O68" s="46"/>
      <c r="P68" s="1"/>
      <c r="Q68" s="1"/>
      <c r="R68" s="1"/>
      <c r="S68" s="1"/>
      <c r="T68" s="1"/>
      <c r="U68" s="1"/>
      <c r="V68" s="1"/>
      <c r="W68" s="44"/>
      <c r="X68" s="1"/>
      <c r="Y68" s="44"/>
      <c r="Z68" s="1"/>
      <c r="AA68" s="46"/>
      <c r="AB68" s="1"/>
      <c r="AC68" s="46"/>
      <c r="AD68" s="1"/>
      <c r="AE68" s="46"/>
      <c r="AF68" s="1"/>
      <c r="AG68" s="44"/>
      <c r="AH68" s="1"/>
      <c r="AI68" s="1"/>
    </row>
    <row r="69" spans="1:35" ht="30" customHeight="1" thickBot="1" x14ac:dyDescent="0.3">
      <c r="A69" s="49" t="s">
        <v>54</v>
      </c>
      <c r="C69" s="40">
        <f t="shared" ref="C69:C100" si="28">H69+J69+(L69/10)+N69+P69+Q69+R69+S69+T69+U69+V69+X69+Z69+AB69+AD69+AF69+AH69+AI69</f>
        <v>0</v>
      </c>
      <c r="D69" s="47">
        <f t="shared" ref="D69" si="29">SUM(G69:AI70)-K69-L69-L70+(K69/10)+(L69/10)+(L70/10)</f>
        <v>0</v>
      </c>
      <c r="E69" s="1"/>
      <c r="F69" s="1"/>
      <c r="G69" s="43"/>
      <c r="H69" s="1"/>
      <c r="I69" s="45"/>
      <c r="J69" s="1"/>
      <c r="K69" s="45"/>
      <c r="L69" s="1"/>
      <c r="M69" s="45"/>
      <c r="N69" s="1"/>
      <c r="O69" s="45"/>
      <c r="P69" s="1"/>
      <c r="Q69" s="1"/>
      <c r="R69" s="1"/>
      <c r="S69" s="1"/>
      <c r="T69" s="1"/>
      <c r="U69" s="1"/>
      <c r="V69" s="1"/>
      <c r="W69" s="43"/>
      <c r="X69" s="1"/>
      <c r="Y69" s="43"/>
      <c r="Z69" s="1"/>
      <c r="AA69" s="45"/>
      <c r="AB69" s="1"/>
      <c r="AC69" s="45"/>
      <c r="AD69" s="1"/>
      <c r="AE69" s="45"/>
      <c r="AF69" s="1"/>
      <c r="AG69" s="43"/>
      <c r="AH69" s="1"/>
      <c r="AI69" s="1"/>
    </row>
    <row r="70" spans="1:35" ht="30" customHeight="1" thickBot="1" x14ac:dyDescent="0.3">
      <c r="A70" s="50"/>
      <c r="C70" s="40">
        <f t="shared" si="28"/>
        <v>0</v>
      </c>
      <c r="D70" s="48"/>
      <c r="E70" s="1"/>
      <c r="F70" s="1"/>
      <c r="G70" s="44"/>
      <c r="H70" s="1"/>
      <c r="I70" s="46"/>
      <c r="J70" s="1"/>
      <c r="K70" s="46"/>
      <c r="L70" s="1"/>
      <c r="M70" s="46"/>
      <c r="N70" s="1"/>
      <c r="O70" s="46"/>
      <c r="P70" s="1"/>
      <c r="Q70" s="1"/>
      <c r="R70" s="1"/>
      <c r="S70" s="1"/>
      <c r="T70" s="1"/>
      <c r="U70" s="1"/>
      <c r="V70" s="1"/>
      <c r="W70" s="44"/>
      <c r="X70" s="1"/>
      <c r="Y70" s="44"/>
      <c r="Z70" s="1"/>
      <c r="AA70" s="46"/>
      <c r="AB70" s="1"/>
      <c r="AC70" s="46"/>
      <c r="AD70" s="1"/>
      <c r="AE70" s="46"/>
      <c r="AF70" s="1"/>
      <c r="AG70" s="44"/>
      <c r="AH70" s="1"/>
      <c r="AI70" s="1"/>
    </row>
    <row r="71" spans="1:35" ht="30" customHeight="1" thickBot="1" x14ac:dyDescent="0.3">
      <c r="A71" s="49" t="s">
        <v>54</v>
      </c>
      <c r="C71" s="40">
        <f t="shared" si="28"/>
        <v>0</v>
      </c>
      <c r="D71" s="47">
        <f t="shared" ref="D71" si="30">SUM(G71:AI72)-K71-L71-L72+(K71/10)+(L71/10)+(L72/10)</f>
        <v>0</v>
      </c>
      <c r="E71" s="1"/>
      <c r="F71" s="1"/>
      <c r="G71" s="43"/>
      <c r="H71" s="1"/>
      <c r="I71" s="45"/>
      <c r="J71" s="1"/>
      <c r="K71" s="45"/>
      <c r="L71" s="1"/>
      <c r="M71" s="45"/>
      <c r="N71" s="1"/>
      <c r="O71" s="45"/>
      <c r="P71" s="1"/>
      <c r="Q71" s="1"/>
      <c r="R71" s="1"/>
      <c r="S71" s="1"/>
      <c r="T71" s="1"/>
      <c r="U71" s="1"/>
      <c r="V71" s="1"/>
      <c r="W71" s="43"/>
      <c r="X71" s="1"/>
      <c r="Y71" s="43"/>
      <c r="Z71" s="1"/>
      <c r="AA71" s="45"/>
      <c r="AB71" s="1"/>
      <c r="AC71" s="45"/>
      <c r="AD71" s="1"/>
      <c r="AE71" s="45"/>
      <c r="AF71" s="1"/>
      <c r="AG71" s="43"/>
      <c r="AH71" s="1"/>
      <c r="AI71" s="1"/>
    </row>
    <row r="72" spans="1:35" ht="30" customHeight="1" thickBot="1" x14ac:dyDescent="0.3">
      <c r="A72" s="50"/>
      <c r="C72" s="40">
        <f t="shared" si="28"/>
        <v>0</v>
      </c>
      <c r="D72" s="48"/>
      <c r="E72" s="1"/>
      <c r="F72" s="1"/>
      <c r="G72" s="44"/>
      <c r="H72" s="1"/>
      <c r="I72" s="46"/>
      <c r="J72" s="1"/>
      <c r="K72" s="46"/>
      <c r="L72" s="1"/>
      <c r="M72" s="46"/>
      <c r="N72" s="1"/>
      <c r="O72" s="46"/>
      <c r="P72" s="1"/>
      <c r="Q72" s="1"/>
      <c r="R72" s="1"/>
      <c r="S72" s="1"/>
      <c r="T72" s="1"/>
      <c r="U72" s="1"/>
      <c r="V72" s="1"/>
      <c r="W72" s="44"/>
      <c r="X72" s="1"/>
      <c r="Y72" s="44"/>
      <c r="Z72" s="1"/>
      <c r="AA72" s="46"/>
      <c r="AB72" s="1"/>
      <c r="AC72" s="46"/>
      <c r="AD72" s="1"/>
      <c r="AE72" s="46"/>
      <c r="AF72" s="1"/>
      <c r="AG72" s="44"/>
      <c r="AH72" s="1"/>
      <c r="AI72" s="1"/>
    </row>
    <row r="73" spans="1:35" ht="30" customHeight="1" thickBot="1" x14ac:dyDescent="0.3">
      <c r="A73" s="49" t="s">
        <v>54</v>
      </c>
      <c r="C73" s="40">
        <f t="shared" si="28"/>
        <v>0</v>
      </c>
      <c r="D73" s="47">
        <f t="shared" ref="D73" si="31">SUM(G73:AI74)-K73-L73-L74+(K73/10)+(L73/10)+(L74/10)</f>
        <v>0</v>
      </c>
      <c r="E73" s="1"/>
      <c r="F73" s="1"/>
      <c r="G73" s="43"/>
      <c r="H73" s="1"/>
      <c r="I73" s="45"/>
      <c r="J73" s="1"/>
      <c r="K73" s="45"/>
      <c r="L73" s="1"/>
      <c r="M73" s="45"/>
      <c r="N73" s="1"/>
      <c r="O73" s="45"/>
      <c r="P73" s="1"/>
      <c r="Q73" s="1"/>
      <c r="R73" s="1"/>
      <c r="S73" s="1"/>
      <c r="T73" s="1"/>
      <c r="U73" s="1"/>
      <c r="V73" s="1"/>
      <c r="W73" s="43"/>
      <c r="X73" s="1"/>
      <c r="Y73" s="43"/>
      <c r="Z73" s="1"/>
      <c r="AA73" s="45"/>
      <c r="AB73" s="1"/>
      <c r="AC73" s="45"/>
      <c r="AD73" s="1"/>
      <c r="AE73" s="45"/>
      <c r="AF73" s="1"/>
      <c r="AG73" s="43"/>
      <c r="AH73" s="1"/>
      <c r="AI73" s="1"/>
    </row>
    <row r="74" spans="1:35" ht="30" customHeight="1" thickBot="1" x14ac:dyDescent="0.3">
      <c r="A74" s="50"/>
      <c r="C74" s="40">
        <f t="shared" si="28"/>
        <v>0</v>
      </c>
      <c r="D74" s="48"/>
      <c r="E74" s="1"/>
      <c r="F74" s="1"/>
      <c r="G74" s="44"/>
      <c r="H74" s="1"/>
      <c r="I74" s="46"/>
      <c r="J74" s="1"/>
      <c r="K74" s="46"/>
      <c r="L74" s="1"/>
      <c r="M74" s="46"/>
      <c r="N74" s="1"/>
      <c r="O74" s="46"/>
      <c r="P74" s="1"/>
      <c r="Q74" s="1"/>
      <c r="R74" s="1"/>
      <c r="S74" s="1"/>
      <c r="T74" s="1"/>
      <c r="U74" s="1"/>
      <c r="V74" s="1"/>
      <c r="W74" s="44"/>
      <c r="X74" s="1"/>
      <c r="Y74" s="44"/>
      <c r="Z74" s="1"/>
      <c r="AA74" s="46"/>
      <c r="AB74" s="1"/>
      <c r="AC74" s="46"/>
      <c r="AD74" s="1"/>
      <c r="AE74" s="46"/>
      <c r="AF74" s="1"/>
      <c r="AG74" s="44"/>
      <c r="AH74" s="1"/>
      <c r="AI74" s="1"/>
    </row>
    <row r="75" spans="1:35" ht="30" customHeight="1" thickBot="1" x14ac:dyDescent="0.3">
      <c r="A75" s="49" t="s">
        <v>54</v>
      </c>
      <c r="C75" s="40">
        <f t="shared" si="28"/>
        <v>0</v>
      </c>
      <c r="D75" s="47">
        <f t="shared" ref="D75" si="32">SUM(G75:AI76)-K75-L75-L76+(K75/10)+(L75/10)+(L76/10)</f>
        <v>0</v>
      </c>
      <c r="E75" s="1"/>
      <c r="F75" s="1"/>
      <c r="G75" s="43"/>
      <c r="H75" s="1"/>
      <c r="I75" s="45"/>
      <c r="J75" s="1"/>
      <c r="K75" s="45"/>
      <c r="L75" s="1"/>
      <c r="M75" s="45"/>
      <c r="N75" s="1"/>
      <c r="O75" s="45"/>
      <c r="P75" s="1"/>
      <c r="Q75" s="1"/>
      <c r="R75" s="1"/>
      <c r="S75" s="1"/>
      <c r="T75" s="1"/>
      <c r="U75" s="1"/>
      <c r="V75" s="1"/>
      <c r="W75" s="43"/>
      <c r="X75" s="1"/>
      <c r="Y75" s="43"/>
      <c r="Z75" s="1"/>
      <c r="AA75" s="45"/>
      <c r="AB75" s="1"/>
      <c r="AC75" s="45"/>
      <c r="AD75" s="1"/>
      <c r="AE75" s="45"/>
      <c r="AF75" s="1"/>
      <c r="AG75" s="43"/>
      <c r="AH75" s="1"/>
      <c r="AI75" s="1"/>
    </row>
    <row r="76" spans="1:35" ht="30" customHeight="1" thickBot="1" x14ac:dyDescent="0.3">
      <c r="A76" s="50"/>
      <c r="C76" s="40">
        <f t="shared" si="28"/>
        <v>0</v>
      </c>
      <c r="D76" s="48"/>
      <c r="E76" s="1"/>
      <c r="F76" s="1"/>
      <c r="G76" s="44"/>
      <c r="H76" s="1"/>
      <c r="I76" s="46"/>
      <c r="J76" s="1"/>
      <c r="K76" s="46"/>
      <c r="L76" s="1"/>
      <c r="M76" s="46"/>
      <c r="N76" s="1"/>
      <c r="O76" s="46"/>
      <c r="P76" s="1"/>
      <c r="Q76" s="1"/>
      <c r="R76" s="1"/>
      <c r="S76" s="1"/>
      <c r="T76" s="1"/>
      <c r="U76" s="1"/>
      <c r="V76" s="1"/>
      <c r="W76" s="44"/>
      <c r="X76" s="1"/>
      <c r="Y76" s="44"/>
      <c r="Z76" s="1"/>
      <c r="AA76" s="46"/>
      <c r="AB76" s="1"/>
      <c r="AC76" s="46"/>
      <c r="AD76" s="1"/>
      <c r="AE76" s="46"/>
      <c r="AF76" s="1"/>
      <c r="AG76" s="44"/>
      <c r="AH76" s="1"/>
      <c r="AI76" s="1"/>
    </row>
    <row r="77" spans="1:35" ht="30" customHeight="1" thickBot="1" x14ac:dyDescent="0.3">
      <c r="A77" s="49" t="s">
        <v>54</v>
      </c>
      <c r="C77" s="40">
        <f t="shared" si="28"/>
        <v>0</v>
      </c>
      <c r="D77" s="47">
        <f t="shared" ref="D77" si="33">SUM(G77:AI78)-K77-L77-L78+(K77/10)+(L77/10)+(L78/10)</f>
        <v>0</v>
      </c>
      <c r="E77" s="1"/>
      <c r="F77" s="1"/>
      <c r="G77" s="43"/>
      <c r="H77" s="1"/>
      <c r="I77" s="45"/>
      <c r="J77" s="1"/>
      <c r="K77" s="45"/>
      <c r="L77" s="1"/>
      <c r="M77" s="45"/>
      <c r="N77" s="1"/>
      <c r="O77" s="45"/>
      <c r="P77" s="1"/>
      <c r="Q77" s="1"/>
      <c r="R77" s="1"/>
      <c r="S77" s="1"/>
      <c r="T77" s="1"/>
      <c r="U77" s="1"/>
      <c r="V77" s="1"/>
      <c r="W77" s="43"/>
      <c r="X77" s="1"/>
      <c r="Y77" s="43"/>
      <c r="Z77" s="1"/>
      <c r="AA77" s="45"/>
      <c r="AB77" s="1"/>
      <c r="AC77" s="45"/>
      <c r="AD77" s="1"/>
      <c r="AE77" s="45"/>
      <c r="AF77" s="1"/>
      <c r="AG77" s="43"/>
      <c r="AH77" s="1"/>
      <c r="AI77" s="1"/>
    </row>
    <row r="78" spans="1:35" ht="30" customHeight="1" thickBot="1" x14ac:dyDescent="0.3">
      <c r="A78" s="50"/>
      <c r="C78" s="40">
        <f t="shared" si="28"/>
        <v>0</v>
      </c>
      <c r="D78" s="48"/>
      <c r="E78" s="1"/>
      <c r="F78" s="1"/>
      <c r="G78" s="44"/>
      <c r="H78" s="1"/>
      <c r="I78" s="46"/>
      <c r="J78" s="1"/>
      <c r="K78" s="46"/>
      <c r="L78" s="1"/>
      <c r="M78" s="46"/>
      <c r="N78" s="1"/>
      <c r="O78" s="46"/>
      <c r="P78" s="1"/>
      <c r="Q78" s="1"/>
      <c r="R78" s="1"/>
      <c r="S78" s="1"/>
      <c r="T78" s="1"/>
      <c r="U78" s="1"/>
      <c r="V78" s="1"/>
      <c r="W78" s="44"/>
      <c r="X78" s="1"/>
      <c r="Y78" s="44"/>
      <c r="Z78" s="1"/>
      <c r="AA78" s="46"/>
      <c r="AB78" s="1"/>
      <c r="AC78" s="46"/>
      <c r="AD78" s="1"/>
      <c r="AE78" s="46"/>
      <c r="AF78" s="1"/>
      <c r="AG78" s="44"/>
      <c r="AH78" s="1"/>
      <c r="AI78" s="1"/>
    </row>
    <row r="79" spans="1:35" ht="30" customHeight="1" thickBot="1" x14ac:dyDescent="0.3">
      <c r="A79" s="49" t="s">
        <v>54</v>
      </c>
      <c r="C79" s="40">
        <f t="shared" si="28"/>
        <v>0</v>
      </c>
      <c r="D79" s="47">
        <f t="shared" ref="D79" si="34">SUM(G79:AI80)-K79-L79-L80+(K79/10)+(L79/10)+(L80/10)</f>
        <v>0</v>
      </c>
      <c r="E79" s="1"/>
      <c r="F79" s="1"/>
      <c r="G79" s="43"/>
      <c r="H79" s="1"/>
      <c r="I79" s="45"/>
      <c r="J79" s="1"/>
      <c r="K79" s="45"/>
      <c r="L79" s="1"/>
      <c r="M79" s="45"/>
      <c r="N79" s="1"/>
      <c r="O79" s="45"/>
      <c r="P79" s="1"/>
      <c r="Q79" s="1"/>
      <c r="R79" s="1"/>
      <c r="S79" s="1"/>
      <c r="T79" s="1"/>
      <c r="U79" s="1"/>
      <c r="V79" s="1"/>
      <c r="W79" s="43"/>
      <c r="X79" s="1"/>
      <c r="Y79" s="43"/>
      <c r="Z79" s="1"/>
      <c r="AA79" s="45"/>
      <c r="AB79" s="1"/>
      <c r="AC79" s="45"/>
      <c r="AD79" s="1"/>
      <c r="AE79" s="45"/>
      <c r="AF79" s="1"/>
      <c r="AG79" s="43"/>
      <c r="AH79" s="1"/>
      <c r="AI79" s="1"/>
    </row>
    <row r="80" spans="1:35" ht="30" customHeight="1" thickBot="1" x14ac:dyDescent="0.3">
      <c r="A80" s="50"/>
      <c r="C80" s="40">
        <f t="shared" si="28"/>
        <v>0</v>
      </c>
      <c r="D80" s="48"/>
      <c r="E80" s="1"/>
      <c r="F80" s="1"/>
      <c r="G80" s="44"/>
      <c r="H80" s="1"/>
      <c r="I80" s="46"/>
      <c r="J80" s="1"/>
      <c r="K80" s="46"/>
      <c r="L80" s="1"/>
      <c r="M80" s="46"/>
      <c r="N80" s="1"/>
      <c r="O80" s="46"/>
      <c r="P80" s="1"/>
      <c r="Q80" s="1"/>
      <c r="R80" s="1"/>
      <c r="S80" s="1"/>
      <c r="T80" s="1"/>
      <c r="U80" s="1"/>
      <c r="V80" s="1"/>
      <c r="W80" s="44"/>
      <c r="X80" s="1"/>
      <c r="Y80" s="44"/>
      <c r="Z80" s="1"/>
      <c r="AA80" s="46"/>
      <c r="AB80" s="1"/>
      <c r="AC80" s="46"/>
      <c r="AD80" s="1"/>
      <c r="AE80" s="46"/>
      <c r="AF80" s="1"/>
      <c r="AG80" s="44"/>
      <c r="AH80" s="1"/>
      <c r="AI80" s="1"/>
    </row>
    <row r="81" spans="1:35" ht="30" customHeight="1" thickBot="1" x14ac:dyDescent="0.3">
      <c r="A81" s="49" t="s">
        <v>54</v>
      </c>
      <c r="C81" s="40">
        <f t="shared" si="28"/>
        <v>0</v>
      </c>
      <c r="D81" s="47">
        <f t="shared" ref="D81" si="35">SUM(G81:AI82)-K81-L81-L82+(K81/10)+(L81/10)+(L82/10)</f>
        <v>0</v>
      </c>
      <c r="E81" s="1"/>
      <c r="F81" s="1"/>
      <c r="G81" s="43"/>
      <c r="H81" s="1"/>
      <c r="I81" s="45"/>
      <c r="J81" s="1"/>
      <c r="K81" s="45"/>
      <c r="L81" s="1"/>
      <c r="M81" s="45"/>
      <c r="N81" s="1"/>
      <c r="O81" s="45"/>
      <c r="P81" s="1"/>
      <c r="Q81" s="1"/>
      <c r="R81" s="1"/>
      <c r="S81" s="1"/>
      <c r="T81" s="1"/>
      <c r="U81" s="1"/>
      <c r="V81" s="1"/>
      <c r="W81" s="43"/>
      <c r="X81" s="1"/>
      <c r="Y81" s="43"/>
      <c r="Z81" s="1"/>
      <c r="AA81" s="45"/>
      <c r="AB81" s="1"/>
      <c r="AC81" s="45"/>
      <c r="AD81" s="1"/>
      <c r="AE81" s="45"/>
      <c r="AF81" s="1"/>
      <c r="AG81" s="43"/>
      <c r="AH81" s="1"/>
      <c r="AI81" s="1"/>
    </row>
    <row r="82" spans="1:35" ht="30" customHeight="1" thickBot="1" x14ac:dyDescent="0.3">
      <c r="A82" s="50"/>
      <c r="C82" s="40">
        <f t="shared" si="28"/>
        <v>0</v>
      </c>
      <c r="D82" s="48"/>
      <c r="E82" s="1"/>
      <c r="F82" s="1"/>
      <c r="G82" s="44"/>
      <c r="H82" s="1"/>
      <c r="I82" s="46"/>
      <c r="J82" s="1"/>
      <c r="K82" s="46"/>
      <c r="L82" s="1"/>
      <c r="M82" s="46"/>
      <c r="N82" s="1"/>
      <c r="O82" s="46"/>
      <c r="P82" s="1"/>
      <c r="Q82" s="1"/>
      <c r="R82" s="1"/>
      <c r="S82" s="1"/>
      <c r="T82" s="1"/>
      <c r="U82" s="1"/>
      <c r="V82" s="1"/>
      <c r="W82" s="44"/>
      <c r="X82" s="1"/>
      <c r="Y82" s="44"/>
      <c r="Z82" s="1"/>
      <c r="AA82" s="46"/>
      <c r="AB82" s="1"/>
      <c r="AC82" s="46"/>
      <c r="AD82" s="1"/>
      <c r="AE82" s="46"/>
      <c r="AF82" s="1"/>
      <c r="AG82" s="44"/>
      <c r="AH82" s="1"/>
      <c r="AI82" s="1"/>
    </row>
    <row r="83" spans="1:35" ht="30" customHeight="1" thickBot="1" x14ac:dyDescent="0.3">
      <c r="A83" s="49" t="s">
        <v>54</v>
      </c>
      <c r="C83" s="40">
        <f t="shared" si="28"/>
        <v>0</v>
      </c>
      <c r="D83" s="47">
        <f t="shared" ref="D83" si="36">SUM(G83:AI84)-K83-L83-L84+(K83/10)+(L83/10)+(L84/10)</f>
        <v>0</v>
      </c>
      <c r="E83" s="1"/>
      <c r="F83" s="1"/>
      <c r="G83" s="43"/>
      <c r="H83" s="1"/>
      <c r="I83" s="45"/>
      <c r="J83" s="1"/>
      <c r="K83" s="45"/>
      <c r="L83" s="1"/>
      <c r="M83" s="45"/>
      <c r="N83" s="1"/>
      <c r="O83" s="45"/>
      <c r="P83" s="1"/>
      <c r="Q83" s="1"/>
      <c r="R83" s="1"/>
      <c r="S83" s="1"/>
      <c r="T83" s="1"/>
      <c r="U83" s="1"/>
      <c r="V83" s="1"/>
      <c r="W83" s="43"/>
      <c r="X83" s="1"/>
      <c r="Y83" s="43"/>
      <c r="Z83" s="1"/>
      <c r="AA83" s="45"/>
      <c r="AB83" s="1"/>
      <c r="AC83" s="45"/>
      <c r="AD83" s="1"/>
      <c r="AE83" s="45"/>
      <c r="AF83" s="1"/>
      <c r="AG83" s="43"/>
      <c r="AH83" s="1"/>
      <c r="AI83" s="1"/>
    </row>
    <row r="84" spans="1:35" ht="30" customHeight="1" thickBot="1" x14ac:dyDescent="0.3">
      <c r="A84" s="50"/>
      <c r="C84" s="40">
        <f t="shared" si="28"/>
        <v>0</v>
      </c>
      <c r="D84" s="48"/>
      <c r="E84" s="1"/>
      <c r="F84" s="1"/>
      <c r="G84" s="44"/>
      <c r="H84" s="1"/>
      <c r="I84" s="46"/>
      <c r="J84" s="1"/>
      <c r="K84" s="46"/>
      <c r="L84" s="1"/>
      <c r="M84" s="46"/>
      <c r="N84" s="1"/>
      <c r="O84" s="46"/>
      <c r="P84" s="1"/>
      <c r="Q84" s="1"/>
      <c r="R84" s="1"/>
      <c r="S84" s="1"/>
      <c r="T84" s="1"/>
      <c r="U84" s="1"/>
      <c r="V84" s="1"/>
      <c r="W84" s="44"/>
      <c r="X84" s="1"/>
      <c r="Y84" s="44"/>
      <c r="Z84" s="1"/>
      <c r="AA84" s="46"/>
      <c r="AB84" s="1"/>
      <c r="AC84" s="46"/>
      <c r="AD84" s="1"/>
      <c r="AE84" s="46"/>
      <c r="AF84" s="1"/>
      <c r="AG84" s="44"/>
      <c r="AH84" s="1"/>
      <c r="AI84" s="1"/>
    </row>
    <row r="85" spans="1:35" ht="30" customHeight="1" thickBot="1" x14ac:dyDescent="0.3">
      <c r="A85" s="49" t="s">
        <v>54</v>
      </c>
      <c r="C85" s="40">
        <f t="shared" si="28"/>
        <v>0</v>
      </c>
      <c r="D85" s="47">
        <f t="shared" ref="D85" si="37">SUM(G85:AI86)-K85-L85-L86+(K85/10)+(L85/10)+(L86/10)</f>
        <v>0</v>
      </c>
      <c r="E85" s="1"/>
      <c r="F85" s="1"/>
      <c r="G85" s="43"/>
      <c r="H85" s="1"/>
      <c r="I85" s="45"/>
      <c r="J85" s="1"/>
      <c r="K85" s="45"/>
      <c r="L85" s="1"/>
      <c r="M85" s="45"/>
      <c r="N85" s="1"/>
      <c r="O85" s="45"/>
      <c r="P85" s="1"/>
      <c r="Q85" s="1"/>
      <c r="R85" s="1"/>
      <c r="S85" s="1"/>
      <c r="T85" s="1"/>
      <c r="U85" s="1"/>
      <c r="V85" s="1"/>
      <c r="W85" s="43"/>
      <c r="X85" s="1"/>
      <c r="Y85" s="43"/>
      <c r="Z85" s="1"/>
      <c r="AA85" s="45"/>
      <c r="AB85" s="1"/>
      <c r="AC85" s="45"/>
      <c r="AD85" s="1"/>
      <c r="AE85" s="45"/>
      <c r="AF85" s="1"/>
      <c r="AG85" s="43"/>
      <c r="AH85" s="1"/>
      <c r="AI85" s="1"/>
    </row>
    <row r="86" spans="1:35" ht="30" customHeight="1" thickBot="1" x14ac:dyDescent="0.3">
      <c r="A86" s="50"/>
      <c r="C86" s="40">
        <f t="shared" si="28"/>
        <v>0</v>
      </c>
      <c r="D86" s="48"/>
      <c r="E86" s="1"/>
      <c r="F86" s="1"/>
      <c r="G86" s="44"/>
      <c r="H86" s="1"/>
      <c r="I86" s="46"/>
      <c r="J86" s="1"/>
      <c r="K86" s="46"/>
      <c r="L86" s="1"/>
      <c r="M86" s="46"/>
      <c r="N86" s="1"/>
      <c r="O86" s="46"/>
      <c r="P86" s="1"/>
      <c r="Q86" s="1"/>
      <c r="R86" s="1"/>
      <c r="S86" s="1"/>
      <c r="T86" s="1"/>
      <c r="U86" s="1"/>
      <c r="V86" s="1"/>
      <c r="W86" s="44"/>
      <c r="X86" s="1"/>
      <c r="Y86" s="44"/>
      <c r="Z86" s="1"/>
      <c r="AA86" s="46"/>
      <c r="AB86" s="1"/>
      <c r="AC86" s="46"/>
      <c r="AD86" s="1"/>
      <c r="AE86" s="46"/>
      <c r="AF86" s="1"/>
      <c r="AG86" s="44"/>
      <c r="AH86" s="1"/>
      <c r="AI86" s="1"/>
    </row>
    <row r="87" spans="1:35" ht="30" customHeight="1" thickBot="1" x14ac:dyDescent="0.3">
      <c r="A87" s="49" t="s">
        <v>54</v>
      </c>
      <c r="C87" s="40">
        <f t="shared" si="28"/>
        <v>0</v>
      </c>
      <c r="D87" s="47">
        <f t="shared" ref="D87" si="38">SUM(G87:AI88)-K87-L87-L88+(K87/10)+(L87/10)+(L88/10)</f>
        <v>0</v>
      </c>
      <c r="E87" s="1"/>
      <c r="F87" s="1"/>
      <c r="G87" s="43"/>
      <c r="H87" s="1"/>
      <c r="I87" s="45"/>
      <c r="J87" s="1"/>
      <c r="K87" s="45"/>
      <c r="L87" s="1"/>
      <c r="M87" s="45"/>
      <c r="N87" s="1"/>
      <c r="O87" s="45"/>
      <c r="P87" s="1"/>
      <c r="Q87" s="1"/>
      <c r="R87" s="1"/>
      <c r="S87" s="1"/>
      <c r="T87" s="1"/>
      <c r="U87" s="1"/>
      <c r="V87" s="1"/>
      <c r="W87" s="43"/>
      <c r="X87" s="1"/>
      <c r="Y87" s="43"/>
      <c r="Z87" s="1"/>
      <c r="AA87" s="45"/>
      <c r="AB87" s="1"/>
      <c r="AC87" s="45"/>
      <c r="AD87" s="1"/>
      <c r="AE87" s="45"/>
      <c r="AF87" s="1"/>
      <c r="AG87" s="43"/>
      <c r="AH87" s="1"/>
      <c r="AI87" s="1"/>
    </row>
    <row r="88" spans="1:35" ht="30" customHeight="1" thickBot="1" x14ac:dyDescent="0.3">
      <c r="A88" s="50"/>
      <c r="C88" s="40">
        <f t="shared" si="28"/>
        <v>0</v>
      </c>
      <c r="D88" s="48"/>
      <c r="E88" s="1"/>
      <c r="F88" s="1"/>
      <c r="G88" s="44"/>
      <c r="H88" s="1"/>
      <c r="I88" s="46"/>
      <c r="J88" s="1"/>
      <c r="K88" s="46"/>
      <c r="L88" s="1"/>
      <c r="M88" s="46"/>
      <c r="N88" s="1"/>
      <c r="O88" s="46"/>
      <c r="P88" s="1"/>
      <c r="Q88" s="1"/>
      <c r="R88" s="1"/>
      <c r="S88" s="1"/>
      <c r="T88" s="1"/>
      <c r="U88" s="1"/>
      <c r="V88" s="1"/>
      <c r="W88" s="44"/>
      <c r="X88" s="1"/>
      <c r="Y88" s="44"/>
      <c r="Z88" s="1"/>
      <c r="AA88" s="46"/>
      <c r="AB88" s="1"/>
      <c r="AC88" s="46"/>
      <c r="AD88" s="1"/>
      <c r="AE88" s="46"/>
      <c r="AF88" s="1"/>
      <c r="AG88" s="44"/>
      <c r="AH88" s="1"/>
      <c r="AI88" s="1"/>
    </row>
    <row r="89" spans="1:35" ht="30" customHeight="1" thickBot="1" x14ac:dyDescent="0.3">
      <c r="A89" s="49" t="s">
        <v>54</v>
      </c>
      <c r="C89" s="40">
        <f t="shared" si="28"/>
        <v>0</v>
      </c>
      <c r="D89" s="47">
        <f t="shared" ref="D89" si="39">SUM(G89:AI90)-K89-L89-L90+(K89/10)+(L89/10)+(L90/10)</f>
        <v>0</v>
      </c>
      <c r="E89" s="1"/>
      <c r="F89" s="1"/>
      <c r="G89" s="43"/>
      <c r="H89" s="1"/>
      <c r="I89" s="45"/>
      <c r="J89" s="1"/>
      <c r="K89" s="45"/>
      <c r="L89" s="1"/>
      <c r="M89" s="45"/>
      <c r="N89" s="1"/>
      <c r="O89" s="45"/>
      <c r="P89" s="1"/>
      <c r="Q89" s="1"/>
      <c r="R89" s="1"/>
      <c r="S89" s="1"/>
      <c r="T89" s="1"/>
      <c r="U89" s="1"/>
      <c r="V89" s="1"/>
      <c r="W89" s="43"/>
      <c r="X89" s="1"/>
      <c r="Y89" s="43"/>
      <c r="Z89" s="1"/>
      <c r="AA89" s="45"/>
      <c r="AB89" s="1"/>
      <c r="AC89" s="45"/>
      <c r="AD89" s="1"/>
      <c r="AE89" s="45"/>
      <c r="AF89" s="1"/>
      <c r="AG89" s="43"/>
      <c r="AH89" s="1"/>
      <c r="AI89" s="1"/>
    </row>
    <row r="90" spans="1:35" ht="30" customHeight="1" thickBot="1" x14ac:dyDescent="0.3">
      <c r="A90" s="50"/>
      <c r="C90" s="40">
        <f t="shared" si="28"/>
        <v>0</v>
      </c>
      <c r="D90" s="48"/>
      <c r="E90" s="1"/>
      <c r="F90" s="1"/>
      <c r="G90" s="44"/>
      <c r="H90" s="1"/>
      <c r="I90" s="46"/>
      <c r="J90" s="1"/>
      <c r="K90" s="46"/>
      <c r="L90" s="1"/>
      <c r="M90" s="46"/>
      <c r="N90" s="1"/>
      <c r="O90" s="46"/>
      <c r="P90" s="1"/>
      <c r="Q90" s="1"/>
      <c r="R90" s="1"/>
      <c r="S90" s="1"/>
      <c r="T90" s="1"/>
      <c r="U90" s="1"/>
      <c r="V90" s="1"/>
      <c r="W90" s="44"/>
      <c r="X90" s="1"/>
      <c r="Y90" s="44"/>
      <c r="Z90" s="1"/>
      <c r="AA90" s="46"/>
      <c r="AB90" s="1"/>
      <c r="AC90" s="46"/>
      <c r="AD90" s="1"/>
      <c r="AE90" s="46"/>
      <c r="AF90" s="1"/>
      <c r="AG90" s="44"/>
      <c r="AH90" s="1"/>
      <c r="AI90" s="1"/>
    </row>
    <row r="91" spans="1:35" ht="30" customHeight="1" thickBot="1" x14ac:dyDescent="0.3">
      <c r="A91" s="49" t="s">
        <v>54</v>
      </c>
      <c r="C91" s="40">
        <f t="shared" si="28"/>
        <v>0</v>
      </c>
      <c r="D91" s="47">
        <f t="shared" ref="D91" si="40">SUM(G91:AI92)-K91-L91-L92+(K91/10)+(L91/10)+(L92/10)</f>
        <v>0</v>
      </c>
      <c r="E91" s="1"/>
      <c r="F91" s="1"/>
      <c r="G91" s="43"/>
      <c r="H91" s="1"/>
      <c r="I91" s="45"/>
      <c r="J91" s="1"/>
      <c r="K91" s="45"/>
      <c r="L91" s="1"/>
      <c r="M91" s="45"/>
      <c r="N91" s="1"/>
      <c r="O91" s="45"/>
      <c r="P91" s="1"/>
      <c r="Q91" s="1"/>
      <c r="R91" s="1"/>
      <c r="S91" s="1"/>
      <c r="T91" s="1"/>
      <c r="U91" s="1"/>
      <c r="V91" s="1"/>
      <c r="W91" s="43"/>
      <c r="X91" s="1"/>
      <c r="Y91" s="43"/>
      <c r="Z91" s="1"/>
      <c r="AA91" s="45"/>
      <c r="AB91" s="1"/>
      <c r="AC91" s="45"/>
      <c r="AD91" s="1"/>
      <c r="AE91" s="45"/>
      <c r="AF91" s="1"/>
      <c r="AG91" s="43"/>
      <c r="AH91" s="1"/>
      <c r="AI91" s="1"/>
    </row>
    <row r="92" spans="1:35" ht="30" customHeight="1" thickBot="1" x14ac:dyDescent="0.3">
      <c r="A92" s="50"/>
      <c r="C92" s="40">
        <f t="shared" si="28"/>
        <v>0</v>
      </c>
      <c r="D92" s="48"/>
      <c r="E92" s="1"/>
      <c r="F92" s="1"/>
      <c r="G92" s="44"/>
      <c r="H92" s="1"/>
      <c r="I92" s="46"/>
      <c r="J92" s="1"/>
      <c r="K92" s="46"/>
      <c r="L92" s="1"/>
      <c r="M92" s="46"/>
      <c r="N92" s="1"/>
      <c r="O92" s="46"/>
      <c r="P92" s="1"/>
      <c r="Q92" s="1"/>
      <c r="R92" s="1"/>
      <c r="S92" s="1"/>
      <c r="T92" s="1"/>
      <c r="U92" s="1"/>
      <c r="V92" s="1"/>
      <c r="W92" s="44"/>
      <c r="X92" s="1"/>
      <c r="Y92" s="44"/>
      <c r="Z92" s="1"/>
      <c r="AA92" s="46"/>
      <c r="AB92" s="1"/>
      <c r="AC92" s="46"/>
      <c r="AD92" s="1"/>
      <c r="AE92" s="46"/>
      <c r="AF92" s="1"/>
      <c r="AG92" s="44"/>
      <c r="AH92" s="1"/>
      <c r="AI92" s="1"/>
    </row>
    <row r="93" spans="1:35" ht="30" customHeight="1" thickBot="1" x14ac:dyDescent="0.3">
      <c r="A93" s="49" t="s">
        <v>54</v>
      </c>
      <c r="C93" s="40">
        <f t="shared" si="28"/>
        <v>0</v>
      </c>
      <c r="D93" s="47">
        <f t="shared" ref="D93" si="41">SUM(G93:AI94)-K93-L93-L94+(K93/10)+(L93/10)+(L94/10)</f>
        <v>0</v>
      </c>
      <c r="E93" s="1"/>
      <c r="F93" s="1"/>
      <c r="G93" s="43"/>
      <c r="H93" s="1"/>
      <c r="I93" s="45"/>
      <c r="J93" s="1"/>
      <c r="K93" s="45"/>
      <c r="L93" s="1"/>
      <c r="M93" s="45"/>
      <c r="N93" s="1"/>
      <c r="O93" s="45"/>
      <c r="P93" s="1"/>
      <c r="Q93" s="1"/>
      <c r="R93" s="1"/>
      <c r="S93" s="1"/>
      <c r="T93" s="1"/>
      <c r="U93" s="1"/>
      <c r="V93" s="1"/>
      <c r="W93" s="43"/>
      <c r="X93" s="1"/>
      <c r="Y93" s="43"/>
      <c r="Z93" s="1"/>
      <c r="AA93" s="45"/>
      <c r="AB93" s="1"/>
      <c r="AC93" s="45"/>
      <c r="AD93" s="1"/>
      <c r="AE93" s="45"/>
      <c r="AF93" s="1"/>
      <c r="AG93" s="43"/>
      <c r="AH93" s="1"/>
      <c r="AI93" s="1"/>
    </row>
    <row r="94" spans="1:35" ht="30" customHeight="1" thickBot="1" x14ac:dyDescent="0.3">
      <c r="A94" s="50"/>
      <c r="C94" s="40">
        <f t="shared" si="28"/>
        <v>0</v>
      </c>
      <c r="D94" s="48"/>
      <c r="E94" s="1"/>
      <c r="F94" s="1"/>
      <c r="G94" s="44"/>
      <c r="H94" s="1"/>
      <c r="I94" s="46"/>
      <c r="J94" s="1"/>
      <c r="K94" s="46"/>
      <c r="L94" s="1"/>
      <c r="M94" s="46"/>
      <c r="N94" s="1"/>
      <c r="O94" s="46"/>
      <c r="P94" s="1"/>
      <c r="Q94" s="1"/>
      <c r="R94" s="1"/>
      <c r="S94" s="1"/>
      <c r="T94" s="1"/>
      <c r="U94" s="1"/>
      <c r="V94" s="1"/>
      <c r="W94" s="44"/>
      <c r="X94" s="1"/>
      <c r="Y94" s="44"/>
      <c r="Z94" s="1"/>
      <c r="AA94" s="46"/>
      <c r="AB94" s="1"/>
      <c r="AC94" s="46"/>
      <c r="AD94" s="1"/>
      <c r="AE94" s="46"/>
      <c r="AF94" s="1"/>
      <c r="AG94" s="44"/>
      <c r="AH94" s="1"/>
      <c r="AI94" s="1"/>
    </row>
    <row r="95" spans="1:35" ht="30" customHeight="1" thickBot="1" x14ac:dyDescent="0.3">
      <c r="A95" s="49" t="s">
        <v>54</v>
      </c>
      <c r="C95" s="40">
        <f t="shared" si="28"/>
        <v>0</v>
      </c>
      <c r="D95" s="47">
        <f t="shared" ref="D95" si="42">SUM(G95:AI96)-K95-L95-L96+(K95/10)+(L95/10)+(L96/10)</f>
        <v>0</v>
      </c>
      <c r="E95" s="1"/>
      <c r="F95" s="1"/>
      <c r="G95" s="43"/>
      <c r="H95" s="1"/>
      <c r="I95" s="45"/>
      <c r="J95" s="1"/>
      <c r="K95" s="45"/>
      <c r="L95" s="1"/>
      <c r="M95" s="45"/>
      <c r="N95" s="1"/>
      <c r="O95" s="45"/>
      <c r="P95" s="1"/>
      <c r="Q95" s="1"/>
      <c r="R95" s="1"/>
      <c r="S95" s="1"/>
      <c r="T95" s="1"/>
      <c r="U95" s="1"/>
      <c r="V95" s="1"/>
      <c r="W95" s="43"/>
      <c r="X95" s="1"/>
      <c r="Y95" s="43"/>
      <c r="Z95" s="1"/>
      <c r="AA95" s="45"/>
      <c r="AB95" s="1"/>
      <c r="AC95" s="45"/>
      <c r="AD95" s="1"/>
      <c r="AE95" s="45"/>
      <c r="AF95" s="1"/>
      <c r="AG95" s="43"/>
      <c r="AH95" s="1"/>
      <c r="AI95" s="1"/>
    </row>
    <row r="96" spans="1:35" ht="30" customHeight="1" thickBot="1" x14ac:dyDescent="0.3">
      <c r="A96" s="50"/>
      <c r="C96" s="40">
        <f t="shared" si="28"/>
        <v>0</v>
      </c>
      <c r="D96" s="48"/>
      <c r="E96" s="1"/>
      <c r="F96" s="1"/>
      <c r="G96" s="44"/>
      <c r="H96" s="1"/>
      <c r="I96" s="46"/>
      <c r="J96" s="1"/>
      <c r="K96" s="46"/>
      <c r="L96" s="1"/>
      <c r="M96" s="46"/>
      <c r="N96" s="1"/>
      <c r="O96" s="46"/>
      <c r="P96" s="1"/>
      <c r="Q96" s="1"/>
      <c r="R96" s="1"/>
      <c r="S96" s="1"/>
      <c r="T96" s="1"/>
      <c r="U96" s="1"/>
      <c r="V96" s="1"/>
      <c r="W96" s="44"/>
      <c r="X96" s="1"/>
      <c r="Y96" s="44"/>
      <c r="Z96" s="1"/>
      <c r="AA96" s="46"/>
      <c r="AB96" s="1"/>
      <c r="AC96" s="46"/>
      <c r="AD96" s="1"/>
      <c r="AE96" s="46"/>
      <c r="AF96" s="1"/>
      <c r="AG96" s="44"/>
      <c r="AH96" s="1"/>
      <c r="AI96" s="1"/>
    </row>
    <row r="97" spans="1:51" ht="30" customHeight="1" thickBot="1" x14ac:dyDescent="0.3">
      <c r="A97" s="49" t="s">
        <v>54</v>
      </c>
      <c r="C97" s="40">
        <f t="shared" si="28"/>
        <v>0</v>
      </c>
      <c r="D97" s="47">
        <f t="shared" ref="D97" si="43">SUM(G97:AI98)-K97-L97-L98+(K97/10)+(L97/10)+(L98/10)</f>
        <v>0</v>
      </c>
      <c r="E97" s="1"/>
      <c r="F97" s="1"/>
      <c r="G97" s="43"/>
      <c r="H97" s="1"/>
      <c r="I97" s="45"/>
      <c r="J97" s="1"/>
      <c r="K97" s="45"/>
      <c r="L97" s="1"/>
      <c r="M97" s="45"/>
      <c r="N97" s="1"/>
      <c r="O97" s="45"/>
      <c r="P97" s="1"/>
      <c r="Q97" s="1"/>
      <c r="R97" s="1"/>
      <c r="S97" s="1"/>
      <c r="T97" s="1"/>
      <c r="U97" s="1"/>
      <c r="V97" s="1"/>
      <c r="W97" s="43"/>
      <c r="X97" s="1"/>
      <c r="Y97" s="43"/>
      <c r="Z97" s="1"/>
      <c r="AA97" s="45"/>
      <c r="AB97" s="1"/>
      <c r="AC97" s="45"/>
      <c r="AD97" s="1"/>
      <c r="AE97" s="45"/>
      <c r="AF97" s="1"/>
      <c r="AG97" s="43"/>
      <c r="AH97" s="1"/>
      <c r="AI97" s="1"/>
    </row>
    <row r="98" spans="1:51" ht="30" customHeight="1" thickBot="1" x14ac:dyDescent="0.3">
      <c r="A98" s="50"/>
      <c r="C98" s="40">
        <f t="shared" si="28"/>
        <v>0</v>
      </c>
      <c r="D98" s="48"/>
      <c r="E98" s="1"/>
      <c r="F98" s="1"/>
      <c r="G98" s="44"/>
      <c r="H98" s="1"/>
      <c r="I98" s="46"/>
      <c r="J98" s="1"/>
      <c r="K98" s="46"/>
      <c r="L98" s="1"/>
      <c r="M98" s="46"/>
      <c r="N98" s="1"/>
      <c r="O98" s="46"/>
      <c r="P98" s="1"/>
      <c r="Q98" s="1"/>
      <c r="R98" s="1"/>
      <c r="S98" s="1"/>
      <c r="T98" s="1"/>
      <c r="U98" s="1"/>
      <c r="V98" s="1"/>
      <c r="W98" s="44"/>
      <c r="X98" s="1"/>
      <c r="Y98" s="44"/>
      <c r="Z98" s="1"/>
      <c r="AA98" s="46"/>
      <c r="AB98" s="1"/>
      <c r="AC98" s="46"/>
      <c r="AD98" s="1"/>
      <c r="AE98" s="46"/>
      <c r="AF98" s="1"/>
      <c r="AG98" s="44"/>
      <c r="AH98" s="1"/>
      <c r="AI98" s="1"/>
    </row>
    <row r="99" spans="1:51" ht="30" customHeight="1" thickBot="1" x14ac:dyDescent="0.3">
      <c r="A99" s="49" t="s">
        <v>54</v>
      </c>
      <c r="C99" s="40">
        <f t="shared" si="28"/>
        <v>0</v>
      </c>
      <c r="D99" s="47">
        <f t="shared" ref="D99" si="44">SUM(G99:AI100)-K99-L99-L100+(K99/10)+(L99/10)+(L100/10)</f>
        <v>0</v>
      </c>
      <c r="E99" s="1"/>
      <c r="F99" s="1"/>
      <c r="G99" s="43"/>
      <c r="H99" s="1"/>
      <c r="I99" s="45"/>
      <c r="J99" s="1"/>
      <c r="K99" s="45"/>
      <c r="L99" s="1"/>
      <c r="M99" s="45"/>
      <c r="N99" s="1"/>
      <c r="O99" s="45"/>
      <c r="P99" s="1"/>
      <c r="Q99" s="1"/>
      <c r="R99" s="1"/>
      <c r="S99" s="1"/>
      <c r="T99" s="1"/>
      <c r="U99" s="1"/>
      <c r="V99" s="1"/>
      <c r="W99" s="43"/>
      <c r="X99" s="1"/>
      <c r="Y99" s="43"/>
      <c r="Z99" s="1"/>
      <c r="AA99" s="45"/>
      <c r="AB99" s="1"/>
      <c r="AC99" s="45"/>
      <c r="AD99" s="1"/>
      <c r="AE99" s="45"/>
      <c r="AF99" s="1"/>
      <c r="AG99" s="43"/>
      <c r="AH99" s="1"/>
      <c r="AI99" s="1"/>
    </row>
    <row r="100" spans="1:51" ht="30" customHeight="1" thickBot="1" x14ac:dyDescent="0.3">
      <c r="A100" s="50"/>
      <c r="C100" s="40">
        <f t="shared" si="28"/>
        <v>0</v>
      </c>
      <c r="D100" s="48"/>
      <c r="E100" s="1"/>
      <c r="F100" s="1"/>
      <c r="G100" s="44"/>
      <c r="H100" s="1"/>
      <c r="I100" s="46"/>
      <c r="J100" s="1"/>
      <c r="K100" s="46"/>
      <c r="L100" s="1"/>
      <c r="M100" s="46"/>
      <c r="N100" s="1"/>
      <c r="O100" s="46"/>
      <c r="P100" s="1"/>
      <c r="Q100" s="1"/>
      <c r="R100" s="1"/>
      <c r="S100" s="1"/>
      <c r="T100" s="1"/>
      <c r="U100" s="1"/>
      <c r="V100" s="1"/>
      <c r="W100" s="44"/>
      <c r="X100" s="1"/>
      <c r="Y100" s="44"/>
      <c r="Z100" s="1"/>
      <c r="AA100" s="46"/>
      <c r="AB100" s="1"/>
      <c r="AC100" s="46"/>
      <c r="AD100" s="1"/>
      <c r="AE100" s="46"/>
      <c r="AF100" s="1"/>
      <c r="AG100" s="44"/>
      <c r="AH100" s="1"/>
      <c r="AI100" s="1"/>
    </row>
    <row r="101" spans="1:51" ht="30" customHeight="1" x14ac:dyDescent="0.25">
      <c r="A101" s="55" t="s">
        <v>39</v>
      </c>
      <c r="B101" s="55"/>
      <c r="C101" s="55"/>
      <c r="D101" s="55"/>
      <c r="E101" s="55"/>
      <c r="F101" s="55"/>
      <c r="G101" s="55"/>
      <c r="H101" s="55"/>
      <c r="I101" s="55"/>
      <c r="J101" s="55"/>
      <c r="K101" s="55"/>
      <c r="L101" s="55"/>
      <c r="M101" s="55"/>
      <c r="N101" s="55"/>
      <c r="O101" s="55"/>
      <c r="P101" s="55"/>
      <c r="Q101" s="55"/>
      <c r="R101" s="55"/>
      <c r="S101" s="55"/>
      <c r="T101" s="55"/>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5"/>
      <c r="AX101" s="55"/>
      <c r="AY101" s="55"/>
    </row>
    <row r="102" spans="1:51" x14ac:dyDescent="0.25">
      <c r="A102" t="s">
        <v>45</v>
      </c>
      <c r="B102" t="s">
        <v>40</v>
      </c>
      <c r="C102" s="55" t="s">
        <v>41</v>
      </c>
      <c r="D102" s="55"/>
      <c r="E102" s="55"/>
      <c r="F102" s="55"/>
    </row>
    <row r="103" spans="1:51" x14ac:dyDescent="0.25">
      <c r="A103">
        <f>C103/(1+((((B103+C103)/2)/C103)/0.9))</f>
        <v>7.1357142857142852</v>
      </c>
      <c r="B103" s="27">
        <f>MIN(D3:D101)</f>
        <v>0</v>
      </c>
      <c r="C103" s="56">
        <f>MAX(D3:D101)</f>
        <v>11.1</v>
      </c>
      <c r="D103" s="56"/>
      <c r="E103" s="56"/>
      <c r="F103" s="56"/>
    </row>
    <row r="105" spans="1:51" x14ac:dyDescent="0.25">
      <c r="A105">
        <f>C105/(1+((((B105+C105)/2)/C105)/0.8))</f>
        <v>5.6</v>
      </c>
      <c r="B105" s="27">
        <f>MIN(C3:C101)</f>
        <v>0</v>
      </c>
      <c r="C105" s="56">
        <f>MAX(C3:C101)</f>
        <v>9.1</v>
      </c>
      <c r="D105" s="55"/>
      <c r="E105" s="55"/>
      <c r="F105" s="55"/>
    </row>
  </sheetData>
  <mergeCells count="647">
    <mergeCell ref="I27:I28"/>
    <mergeCell ref="I29:I30"/>
    <mergeCell ref="D27:D28"/>
    <mergeCell ref="A27:A28"/>
    <mergeCell ref="A29:A30"/>
    <mergeCell ref="D29:D30"/>
    <mergeCell ref="G27:G28"/>
    <mergeCell ref="G29:G30"/>
    <mergeCell ref="AG29:AG30"/>
    <mergeCell ref="AG27:AG28"/>
    <mergeCell ref="AE29:AE30"/>
    <mergeCell ref="AE27:AE28"/>
    <mergeCell ref="AA29:AA30"/>
    <mergeCell ref="AC29:AC30"/>
    <mergeCell ref="AC27:AC28"/>
    <mergeCell ref="AA27:AA28"/>
    <mergeCell ref="Y27:Y28"/>
    <mergeCell ref="Y29:Y30"/>
    <mergeCell ref="W29:W30"/>
    <mergeCell ref="W27:W28"/>
    <mergeCell ref="O29:O30"/>
    <mergeCell ref="O27:O28"/>
    <mergeCell ref="M27:M28"/>
    <mergeCell ref="M29:M30"/>
    <mergeCell ref="K29:K30"/>
    <mergeCell ref="K27:K28"/>
    <mergeCell ref="A20:A21"/>
    <mergeCell ref="C1:D1"/>
    <mergeCell ref="D3:D4"/>
    <mergeCell ref="D5:D6"/>
    <mergeCell ref="D7:D9"/>
    <mergeCell ref="D10:D11"/>
    <mergeCell ref="D12:D13"/>
    <mergeCell ref="D14:D15"/>
    <mergeCell ref="D16:D17"/>
    <mergeCell ref="D18:D19"/>
    <mergeCell ref="A7:A9"/>
    <mergeCell ref="A10:A11"/>
    <mergeCell ref="A12:A13"/>
    <mergeCell ref="A14:A15"/>
    <mergeCell ref="A16:A17"/>
    <mergeCell ref="A18:A19"/>
    <mergeCell ref="A3:A4"/>
    <mergeCell ref="A5:A6"/>
    <mergeCell ref="D20:D21"/>
    <mergeCell ref="E1:F1"/>
    <mergeCell ref="I2:J2"/>
    <mergeCell ref="G1:Q1"/>
    <mergeCell ref="G2:H2"/>
    <mergeCell ref="G10:G11"/>
    <mergeCell ref="G12:G13"/>
    <mergeCell ref="G14:G15"/>
    <mergeCell ref="G16:G17"/>
    <mergeCell ref="AA2:AB2"/>
    <mergeCell ref="Y10:Y11"/>
    <mergeCell ref="Y12:Y13"/>
    <mergeCell ref="Y14:Y15"/>
    <mergeCell ref="Y16:Y17"/>
    <mergeCell ref="K10:K11"/>
    <mergeCell ref="K12:K13"/>
    <mergeCell ref="K14:K15"/>
    <mergeCell ref="K16:K17"/>
    <mergeCell ref="AG1:AH1"/>
    <mergeCell ref="AG2:AH2"/>
    <mergeCell ref="G3:G4"/>
    <mergeCell ref="G5:G6"/>
    <mergeCell ref="G7:G9"/>
    <mergeCell ref="Y3:Y4"/>
    <mergeCell ref="Y5:Y6"/>
    <mergeCell ref="Y7:Y9"/>
    <mergeCell ref="AA3:AA4"/>
    <mergeCell ref="Y1:AF1"/>
    <mergeCell ref="U1:V1"/>
    <mergeCell ref="R1:T1"/>
    <mergeCell ref="W1:X1"/>
    <mergeCell ref="AE2:AF2"/>
    <mergeCell ref="AC2:AD2"/>
    <mergeCell ref="Y2:Z2"/>
    <mergeCell ref="AC7:AC9"/>
    <mergeCell ref="AG5:AG6"/>
    <mergeCell ref="AG3:AG4"/>
    <mergeCell ref="K3:K4"/>
    <mergeCell ref="K5:K6"/>
    <mergeCell ref="K7:K9"/>
    <mergeCell ref="AE3:AE4"/>
    <mergeCell ref="AE5:AE6"/>
    <mergeCell ref="G18:G19"/>
    <mergeCell ref="G20:G21"/>
    <mergeCell ref="I3:I4"/>
    <mergeCell ref="I5:I6"/>
    <mergeCell ref="I7:I9"/>
    <mergeCell ref="I10:I11"/>
    <mergeCell ref="I12:I13"/>
    <mergeCell ref="I14:I15"/>
    <mergeCell ref="I16:I17"/>
    <mergeCell ref="I18:I19"/>
    <mergeCell ref="I20:I21"/>
    <mergeCell ref="K20:K21"/>
    <mergeCell ref="AC20:AC21"/>
    <mergeCell ref="AC3:AC4"/>
    <mergeCell ref="AC5:AC6"/>
    <mergeCell ref="M7:M9"/>
    <mergeCell ref="AC10:AC11"/>
    <mergeCell ref="AC12:AC13"/>
    <mergeCell ref="AC14:AC15"/>
    <mergeCell ref="AC16:AC17"/>
    <mergeCell ref="AA5:AA6"/>
    <mergeCell ref="AA7:AA9"/>
    <mergeCell ref="AA10:AA11"/>
    <mergeCell ref="AA12:AA13"/>
    <mergeCell ref="AA14:AA15"/>
    <mergeCell ref="AA16:AA17"/>
    <mergeCell ref="Y18:Y19"/>
    <mergeCell ref="Y20:Y21"/>
    <mergeCell ref="O16:O17"/>
    <mergeCell ref="AE7:AE9"/>
    <mergeCell ref="AE10:AE11"/>
    <mergeCell ref="AE12:AE13"/>
    <mergeCell ref="AE14:AE15"/>
    <mergeCell ref="AE16:AE17"/>
    <mergeCell ref="AE18:AE19"/>
    <mergeCell ref="AA18:AA19"/>
    <mergeCell ref="M3:M4"/>
    <mergeCell ref="K2:L2"/>
    <mergeCell ref="M2:N2"/>
    <mergeCell ref="O2:P2"/>
    <mergeCell ref="O3:O4"/>
    <mergeCell ref="M5:M6"/>
    <mergeCell ref="O5:O6"/>
    <mergeCell ref="O7:O9"/>
    <mergeCell ref="AC18:AC19"/>
    <mergeCell ref="K18:K19"/>
    <mergeCell ref="A22:A24"/>
    <mergeCell ref="W16:W17"/>
    <mergeCell ref="W14:W15"/>
    <mergeCell ref="W12:W13"/>
    <mergeCell ref="W10:W11"/>
    <mergeCell ref="O14:O15"/>
    <mergeCell ref="M14:M15"/>
    <mergeCell ref="M12:M13"/>
    <mergeCell ref="AG20:AG21"/>
    <mergeCell ref="AG18:AG19"/>
    <mergeCell ref="AG16:AG17"/>
    <mergeCell ref="AG14:AG15"/>
    <mergeCell ref="AG12:AG13"/>
    <mergeCell ref="O12:O13"/>
    <mergeCell ref="O10:O11"/>
    <mergeCell ref="M10:M11"/>
    <mergeCell ref="M20:M21"/>
    <mergeCell ref="O20:O21"/>
    <mergeCell ref="O18:O19"/>
    <mergeCell ref="M18:M19"/>
    <mergeCell ref="M16:M17"/>
    <mergeCell ref="G22:G24"/>
    <mergeCell ref="AE20:AE21"/>
    <mergeCell ref="AA20:AA21"/>
    <mergeCell ref="AI18:AI19"/>
    <mergeCell ref="A101:AY101"/>
    <mergeCell ref="C103:F103"/>
    <mergeCell ref="C102:F102"/>
    <mergeCell ref="C105:F105"/>
    <mergeCell ref="W7:W9"/>
    <mergeCell ref="W5:W6"/>
    <mergeCell ref="W3:W4"/>
    <mergeCell ref="AG22:AG24"/>
    <mergeCell ref="AE22:AE24"/>
    <mergeCell ref="AC22:AC24"/>
    <mergeCell ref="Y22:Y24"/>
    <mergeCell ref="AA22:AA24"/>
    <mergeCell ref="D22:D24"/>
    <mergeCell ref="W22:W24"/>
    <mergeCell ref="W20:W21"/>
    <mergeCell ref="W18:W19"/>
    <mergeCell ref="O22:O24"/>
    <mergeCell ref="M22:M24"/>
    <mergeCell ref="K22:K24"/>
    <mergeCell ref="I22:I24"/>
    <mergeCell ref="AG10:AG11"/>
    <mergeCell ref="AG7:AG9"/>
    <mergeCell ref="A25:A26"/>
    <mergeCell ref="D25:D26"/>
    <mergeCell ref="AG25:AG26"/>
    <mergeCell ref="AE25:AE26"/>
    <mergeCell ref="AC25:AC26"/>
    <mergeCell ref="AA25:AA26"/>
    <mergeCell ref="Y25:Y26"/>
    <mergeCell ref="W25:W26"/>
    <mergeCell ref="O25:O26"/>
    <mergeCell ref="M25:M26"/>
    <mergeCell ref="K25:K26"/>
    <mergeCell ref="I25:I26"/>
    <mergeCell ref="G25:G26"/>
    <mergeCell ref="D31:D32"/>
    <mergeCell ref="A31:A32"/>
    <mergeCell ref="A33:A34"/>
    <mergeCell ref="A35:A36"/>
    <mergeCell ref="A37:A38"/>
    <mergeCell ref="A39:A40"/>
    <mergeCell ref="A41:A42"/>
    <mergeCell ref="A43:A44"/>
    <mergeCell ref="A45:A46"/>
    <mergeCell ref="D33:D34"/>
    <mergeCell ref="D35:D36"/>
    <mergeCell ref="D37:D38"/>
    <mergeCell ref="D39:D40"/>
    <mergeCell ref="D41:D42"/>
    <mergeCell ref="D43:D44"/>
    <mergeCell ref="D45:D46"/>
    <mergeCell ref="A47:A48"/>
    <mergeCell ref="A49:A50"/>
    <mergeCell ref="A51:A52"/>
    <mergeCell ref="A53:A54"/>
    <mergeCell ref="A55:A56"/>
    <mergeCell ref="A57:A58"/>
    <mergeCell ref="A59:A60"/>
    <mergeCell ref="A61:A62"/>
    <mergeCell ref="A63:A64"/>
    <mergeCell ref="A65:A66"/>
    <mergeCell ref="A67:A68"/>
    <mergeCell ref="A69:A70"/>
    <mergeCell ref="A71:A72"/>
    <mergeCell ref="A73:A74"/>
    <mergeCell ref="A75:A76"/>
    <mergeCell ref="A77:A78"/>
    <mergeCell ref="A79:A80"/>
    <mergeCell ref="A81:A82"/>
    <mergeCell ref="A83:A84"/>
    <mergeCell ref="A85:A86"/>
    <mergeCell ref="A87:A88"/>
    <mergeCell ref="A89:A90"/>
    <mergeCell ref="A91:A92"/>
    <mergeCell ref="A93:A94"/>
    <mergeCell ref="A95:A96"/>
    <mergeCell ref="A97:A98"/>
    <mergeCell ref="A99:A100"/>
    <mergeCell ref="D47:D48"/>
    <mergeCell ref="D49:D50"/>
    <mergeCell ref="D51:D52"/>
    <mergeCell ref="D53:D54"/>
    <mergeCell ref="D55:D56"/>
    <mergeCell ref="D57:D58"/>
    <mergeCell ref="D59:D60"/>
    <mergeCell ref="D61:D62"/>
    <mergeCell ref="D63:D64"/>
    <mergeCell ref="D65:D66"/>
    <mergeCell ref="D67:D68"/>
    <mergeCell ref="D69:D70"/>
    <mergeCell ref="D71:D72"/>
    <mergeCell ref="D73:D74"/>
    <mergeCell ref="D75:D76"/>
    <mergeCell ref="D77:D78"/>
    <mergeCell ref="D79:D80"/>
    <mergeCell ref="D81:D82"/>
    <mergeCell ref="D83:D84"/>
    <mergeCell ref="D85:D86"/>
    <mergeCell ref="D87:D88"/>
    <mergeCell ref="D89:D90"/>
    <mergeCell ref="D91:D92"/>
    <mergeCell ref="D93:D94"/>
    <mergeCell ref="D95:D96"/>
    <mergeCell ref="D97:D98"/>
    <mergeCell ref="D99:D100"/>
    <mergeCell ref="O31:O32"/>
    <mergeCell ref="O33:O34"/>
    <mergeCell ref="O35:O36"/>
    <mergeCell ref="O37:O38"/>
    <mergeCell ref="O39:O40"/>
    <mergeCell ref="O41:O42"/>
    <mergeCell ref="O43:O44"/>
    <mergeCell ref="O45:O46"/>
    <mergeCell ref="O47:O48"/>
    <mergeCell ref="O49:O50"/>
    <mergeCell ref="O51:O52"/>
    <mergeCell ref="O53:O54"/>
    <mergeCell ref="O55:O56"/>
    <mergeCell ref="O57:O58"/>
    <mergeCell ref="O59:O60"/>
    <mergeCell ref="O61:O62"/>
    <mergeCell ref="O63:O64"/>
    <mergeCell ref="O65:O66"/>
    <mergeCell ref="O67:O68"/>
    <mergeCell ref="O69:O70"/>
    <mergeCell ref="O71:O72"/>
    <mergeCell ref="O73:O74"/>
    <mergeCell ref="O75:O76"/>
    <mergeCell ref="O77:O78"/>
    <mergeCell ref="O79:O80"/>
    <mergeCell ref="O81:O82"/>
    <mergeCell ref="O83:O84"/>
    <mergeCell ref="O85:O86"/>
    <mergeCell ref="O87:O88"/>
    <mergeCell ref="O89:O90"/>
    <mergeCell ref="O91:O92"/>
    <mergeCell ref="O93:O94"/>
    <mergeCell ref="O95:O96"/>
    <mergeCell ref="O97:O98"/>
    <mergeCell ref="O99:O100"/>
    <mergeCell ref="G31:G32"/>
    <mergeCell ref="G33:G34"/>
    <mergeCell ref="G35:G36"/>
    <mergeCell ref="G37:G38"/>
    <mergeCell ref="G39:G40"/>
    <mergeCell ref="G41:G42"/>
    <mergeCell ref="G43:G44"/>
    <mergeCell ref="G45:G46"/>
    <mergeCell ref="G47:G48"/>
    <mergeCell ref="G49:G50"/>
    <mergeCell ref="G51:G52"/>
    <mergeCell ref="G53:G54"/>
    <mergeCell ref="G55:G56"/>
    <mergeCell ref="G57:G58"/>
    <mergeCell ref="G59:G60"/>
    <mergeCell ref="G61:G62"/>
    <mergeCell ref="G63:G64"/>
    <mergeCell ref="G65:G66"/>
    <mergeCell ref="G67:G68"/>
    <mergeCell ref="G69:G70"/>
    <mergeCell ref="G71:G72"/>
    <mergeCell ref="G73:G74"/>
    <mergeCell ref="G75:G76"/>
    <mergeCell ref="G77:G78"/>
    <mergeCell ref="G79:G80"/>
    <mergeCell ref="G81:G82"/>
    <mergeCell ref="G83:G84"/>
    <mergeCell ref="G85:G86"/>
    <mergeCell ref="G87:G88"/>
    <mergeCell ref="G89:G90"/>
    <mergeCell ref="G91:G92"/>
    <mergeCell ref="G93:G94"/>
    <mergeCell ref="G95:G96"/>
    <mergeCell ref="G97:G98"/>
    <mergeCell ref="G99:G100"/>
    <mergeCell ref="I31:I32"/>
    <mergeCell ref="I33:I34"/>
    <mergeCell ref="I35:I36"/>
    <mergeCell ref="I37:I38"/>
    <mergeCell ref="I39:I40"/>
    <mergeCell ref="I41:I42"/>
    <mergeCell ref="I43:I44"/>
    <mergeCell ref="I45:I46"/>
    <mergeCell ref="I47:I48"/>
    <mergeCell ref="I49:I50"/>
    <mergeCell ref="I51:I52"/>
    <mergeCell ref="I53:I54"/>
    <mergeCell ref="I55:I56"/>
    <mergeCell ref="I57:I58"/>
    <mergeCell ref="I59:I60"/>
    <mergeCell ref="I61:I62"/>
    <mergeCell ref="I63:I64"/>
    <mergeCell ref="I65:I66"/>
    <mergeCell ref="I67:I68"/>
    <mergeCell ref="I69:I70"/>
    <mergeCell ref="I71:I72"/>
    <mergeCell ref="I73:I74"/>
    <mergeCell ref="I75:I76"/>
    <mergeCell ref="I77:I78"/>
    <mergeCell ref="I79:I80"/>
    <mergeCell ref="I81:I82"/>
    <mergeCell ref="I83:I84"/>
    <mergeCell ref="I85:I86"/>
    <mergeCell ref="I87:I88"/>
    <mergeCell ref="I89:I90"/>
    <mergeCell ref="I91:I92"/>
    <mergeCell ref="I93:I94"/>
    <mergeCell ref="I95:I96"/>
    <mergeCell ref="I97:I98"/>
    <mergeCell ref="I99:I100"/>
    <mergeCell ref="K31:K32"/>
    <mergeCell ref="K33:K34"/>
    <mergeCell ref="K35:K36"/>
    <mergeCell ref="K37:K38"/>
    <mergeCell ref="K39:K40"/>
    <mergeCell ref="K41:K42"/>
    <mergeCell ref="K43:K44"/>
    <mergeCell ref="K45:K46"/>
    <mergeCell ref="K47:K48"/>
    <mergeCell ref="K49:K50"/>
    <mergeCell ref="K51:K52"/>
    <mergeCell ref="K53:K54"/>
    <mergeCell ref="K55:K56"/>
    <mergeCell ref="K57:K58"/>
    <mergeCell ref="K59:K60"/>
    <mergeCell ref="K61:K62"/>
    <mergeCell ref="K63:K64"/>
    <mergeCell ref="K65:K66"/>
    <mergeCell ref="K67:K68"/>
    <mergeCell ref="K69:K70"/>
    <mergeCell ref="K71:K72"/>
    <mergeCell ref="K73:K74"/>
    <mergeCell ref="K75:K76"/>
    <mergeCell ref="K77:K78"/>
    <mergeCell ref="K79:K80"/>
    <mergeCell ref="K81:K82"/>
    <mergeCell ref="K83:K84"/>
    <mergeCell ref="K85:K86"/>
    <mergeCell ref="K87:K88"/>
    <mergeCell ref="K89:K90"/>
    <mergeCell ref="K91:K92"/>
    <mergeCell ref="K93:K94"/>
    <mergeCell ref="K95:K96"/>
    <mergeCell ref="K97:K98"/>
    <mergeCell ref="K99:K100"/>
    <mergeCell ref="M31:M32"/>
    <mergeCell ref="M33:M34"/>
    <mergeCell ref="M35:M36"/>
    <mergeCell ref="M37:M38"/>
    <mergeCell ref="M39:M40"/>
    <mergeCell ref="M41:M42"/>
    <mergeCell ref="M43:M44"/>
    <mergeCell ref="M45:M46"/>
    <mergeCell ref="M47:M48"/>
    <mergeCell ref="M49:M50"/>
    <mergeCell ref="M51:M52"/>
    <mergeCell ref="M53:M54"/>
    <mergeCell ref="M55:M56"/>
    <mergeCell ref="M57:M58"/>
    <mergeCell ref="M59:M60"/>
    <mergeCell ref="M61:M62"/>
    <mergeCell ref="M63:M64"/>
    <mergeCell ref="M65:M66"/>
    <mergeCell ref="M67:M68"/>
    <mergeCell ref="M69:M70"/>
    <mergeCell ref="M71:M72"/>
    <mergeCell ref="M73:M74"/>
    <mergeCell ref="M75:M76"/>
    <mergeCell ref="M77:M78"/>
    <mergeCell ref="M79:M80"/>
    <mergeCell ref="M81:M82"/>
    <mergeCell ref="M83:M84"/>
    <mergeCell ref="M85:M86"/>
    <mergeCell ref="M87:M88"/>
    <mergeCell ref="M89:M90"/>
    <mergeCell ref="M91:M92"/>
    <mergeCell ref="M93:M94"/>
    <mergeCell ref="M95:M96"/>
    <mergeCell ref="M97:M98"/>
    <mergeCell ref="M99:M100"/>
    <mergeCell ref="W31:W32"/>
    <mergeCell ref="W33:W34"/>
    <mergeCell ref="W35:W36"/>
    <mergeCell ref="W37:W38"/>
    <mergeCell ref="W39:W40"/>
    <mergeCell ref="W41:W42"/>
    <mergeCell ref="W43:W44"/>
    <mergeCell ref="W45:W46"/>
    <mergeCell ref="W47:W48"/>
    <mergeCell ref="W49:W50"/>
    <mergeCell ref="W51:W52"/>
    <mergeCell ref="W53:W54"/>
    <mergeCell ref="W55:W56"/>
    <mergeCell ref="W57:W58"/>
    <mergeCell ref="W59:W60"/>
    <mergeCell ref="W61:W62"/>
    <mergeCell ref="W63:W64"/>
    <mergeCell ref="W65:W66"/>
    <mergeCell ref="W67:W68"/>
    <mergeCell ref="W69:W70"/>
    <mergeCell ref="W71:W72"/>
    <mergeCell ref="W73:W74"/>
    <mergeCell ref="W75:W76"/>
    <mergeCell ref="W77:W78"/>
    <mergeCell ref="W79:W80"/>
    <mergeCell ref="W81:W82"/>
    <mergeCell ref="W83:W84"/>
    <mergeCell ref="W85:W86"/>
    <mergeCell ref="W87:W88"/>
    <mergeCell ref="W89:W90"/>
    <mergeCell ref="W91:W92"/>
    <mergeCell ref="W93:W94"/>
    <mergeCell ref="W95:W96"/>
    <mergeCell ref="W97:W98"/>
    <mergeCell ref="W99:W100"/>
    <mergeCell ref="Y31:Y32"/>
    <mergeCell ref="Y33:Y34"/>
    <mergeCell ref="Y35:Y36"/>
    <mergeCell ref="Y37:Y38"/>
    <mergeCell ref="Y39:Y40"/>
    <mergeCell ref="Y41:Y42"/>
    <mergeCell ref="Y43:Y44"/>
    <mergeCell ref="Y45:Y46"/>
    <mergeCell ref="Y47:Y48"/>
    <mergeCell ref="Y49:Y50"/>
    <mergeCell ref="Y51:Y52"/>
    <mergeCell ref="Y53:Y54"/>
    <mergeCell ref="Y55:Y56"/>
    <mergeCell ref="Y57:Y58"/>
    <mergeCell ref="Y59:Y60"/>
    <mergeCell ref="Y61:Y62"/>
    <mergeCell ref="Y63:Y64"/>
    <mergeCell ref="Y65:Y66"/>
    <mergeCell ref="Y67:Y68"/>
    <mergeCell ref="Y69:Y70"/>
    <mergeCell ref="Y71:Y72"/>
    <mergeCell ref="Y73:Y74"/>
    <mergeCell ref="Y75:Y76"/>
    <mergeCell ref="Y77:Y78"/>
    <mergeCell ref="Y79:Y80"/>
    <mergeCell ref="Y81:Y82"/>
    <mergeCell ref="Y83:Y84"/>
    <mergeCell ref="Y85:Y86"/>
    <mergeCell ref="Y87:Y88"/>
    <mergeCell ref="Y89:Y90"/>
    <mergeCell ref="Y91:Y92"/>
    <mergeCell ref="Y93:Y94"/>
    <mergeCell ref="Y95:Y96"/>
    <mergeCell ref="Y97:Y98"/>
    <mergeCell ref="Y99:Y100"/>
    <mergeCell ref="AA31:AA32"/>
    <mergeCell ref="AA33:AA34"/>
    <mergeCell ref="AA35:AA36"/>
    <mergeCell ref="AA37:AA38"/>
    <mergeCell ref="AA39:AA40"/>
    <mergeCell ref="AA41:AA42"/>
    <mergeCell ref="AA43:AA44"/>
    <mergeCell ref="AA45:AA46"/>
    <mergeCell ref="AA47:AA48"/>
    <mergeCell ref="AA49:AA50"/>
    <mergeCell ref="AA51:AA52"/>
    <mergeCell ref="AA53:AA54"/>
    <mergeCell ref="AA55:AA56"/>
    <mergeCell ref="AA57:AA58"/>
    <mergeCell ref="AA59:AA60"/>
    <mergeCell ref="AA61:AA62"/>
    <mergeCell ref="AA63:AA64"/>
    <mergeCell ref="AA65:AA66"/>
    <mergeCell ref="AA67:AA68"/>
    <mergeCell ref="AA69:AA70"/>
    <mergeCell ref="AA71:AA72"/>
    <mergeCell ref="AA73:AA74"/>
    <mergeCell ref="AA75:AA76"/>
    <mergeCell ref="AA77:AA78"/>
    <mergeCell ref="AA79:AA80"/>
    <mergeCell ref="AA81:AA82"/>
    <mergeCell ref="AA83:AA84"/>
    <mergeCell ref="AA85:AA86"/>
    <mergeCell ref="AA87:AA88"/>
    <mergeCell ref="AA89:AA90"/>
    <mergeCell ref="AA91:AA92"/>
    <mergeCell ref="AA93:AA94"/>
    <mergeCell ref="AA95:AA96"/>
    <mergeCell ref="AA97:AA98"/>
    <mergeCell ref="AA99:AA100"/>
    <mergeCell ref="AC31:AC32"/>
    <mergeCell ref="AC33:AC34"/>
    <mergeCell ref="AC35:AC36"/>
    <mergeCell ref="AC37:AC38"/>
    <mergeCell ref="AC39:AC40"/>
    <mergeCell ref="AC41:AC42"/>
    <mergeCell ref="AC43:AC44"/>
    <mergeCell ref="AC45:AC46"/>
    <mergeCell ref="AC47:AC48"/>
    <mergeCell ref="AC49:AC50"/>
    <mergeCell ref="AC51:AC52"/>
    <mergeCell ref="AC53:AC54"/>
    <mergeCell ref="AC55:AC56"/>
    <mergeCell ref="AC57:AC58"/>
    <mergeCell ref="AC59:AC60"/>
    <mergeCell ref="AC61:AC62"/>
    <mergeCell ref="AC63:AC64"/>
    <mergeCell ref="AC65:AC66"/>
    <mergeCell ref="AC67:AC68"/>
    <mergeCell ref="AC69:AC70"/>
    <mergeCell ref="AC71:AC72"/>
    <mergeCell ref="AC73:AC74"/>
    <mergeCell ref="AC75:AC76"/>
    <mergeCell ref="AC77:AC78"/>
    <mergeCell ref="AC79:AC80"/>
    <mergeCell ref="AC81:AC82"/>
    <mergeCell ref="AC83:AC84"/>
    <mergeCell ref="AC85:AC86"/>
    <mergeCell ref="AC87:AC88"/>
    <mergeCell ref="AC89:AC90"/>
    <mergeCell ref="AC91:AC92"/>
    <mergeCell ref="AC93:AC94"/>
    <mergeCell ref="AC95:AC96"/>
    <mergeCell ref="AC97:AC98"/>
    <mergeCell ref="AC99:AC100"/>
    <mergeCell ref="AE31:AE32"/>
    <mergeCell ref="AE33:AE34"/>
    <mergeCell ref="AE35:AE36"/>
    <mergeCell ref="AE37:AE38"/>
    <mergeCell ref="AE39:AE40"/>
    <mergeCell ref="AE41:AE42"/>
    <mergeCell ref="AE43:AE44"/>
    <mergeCell ref="AE45:AE46"/>
    <mergeCell ref="AE47:AE48"/>
    <mergeCell ref="AE49:AE50"/>
    <mergeCell ref="AE51:AE52"/>
    <mergeCell ref="AE53:AE54"/>
    <mergeCell ref="AE55:AE56"/>
    <mergeCell ref="AE57:AE58"/>
    <mergeCell ref="AE59:AE60"/>
    <mergeCell ref="AE61:AE62"/>
    <mergeCell ref="AE63:AE64"/>
    <mergeCell ref="AE65:AE66"/>
    <mergeCell ref="AE67:AE68"/>
    <mergeCell ref="AE69:AE70"/>
    <mergeCell ref="AE71:AE72"/>
    <mergeCell ref="AE73:AE74"/>
    <mergeCell ref="AE75:AE76"/>
    <mergeCell ref="AE77:AE78"/>
    <mergeCell ref="AE79:AE80"/>
    <mergeCell ref="AE81:AE82"/>
    <mergeCell ref="AE83:AE84"/>
    <mergeCell ref="AE85:AE86"/>
    <mergeCell ref="AE87:AE88"/>
    <mergeCell ref="AE89:AE90"/>
    <mergeCell ref="AE91:AE92"/>
    <mergeCell ref="AE93:AE94"/>
    <mergeCell ref="AE95:AE96"/>
    <mergeCell ref="AE97:AE98"/>
    <mergeCell ref="AE99:AE100"/>
    <mergeCell ref="AG31:AG32"/>
    <mergeCell ref="AG33:AG34"/>
    <mergeCell ref="AG35:AG36"/>
    <mergeCell ref="AG37:AG38"/>
    <mergeCell ref="AG39:AG40"/>
    <mergeCell ref="AG41:AG42"/>
    <mergeCell ref="AG43:AG44"/>
    <mergeCell ref="AG45:AG46"/>
    <mergeCell ref="AG47:AG48"/>
    <mergeCell ref="AG49:AG50"/>
    <mergeCell ref="AG51:AG52"/>
    <mergeCell ref="AG53:AG54"/>
    <mergeCell ref="AG55:AG56"/>
    <mergeCell ref="AG57:AG58"/>
    <mergeCell ref="AG59:AG60"/>
    <mergeCell ref="AG61:AG62"/>
    <mergeCell ref="AG63:AG64"/>
    <mergeCell ref="AG65:AG66"/>
    <mergeCell ref="AG67:AG68"/>
    <mergeCell ref="AG87:AG88"/>
    <mergeCell ref="AG89:AG90"/>
    <mergeCell ref="AG91:AG92"/>
    <mergeCell ref="AG93:AG94"/>
    <mergeCell ref="AG95:AG96"/>
    <mergeCell ref="AG97:AG98"/>
    <mergeCell ref="AG99:AG100"/>
    <mergeCell ref="AG69:AG70"/>
    <mergeCell ref="AG71:AG72"/>
    <mergeCell ref="AG73:AG74"/>
    <mergeCell ref="AG75:AG76"/>
    <mergeCell ref="AG77:AG78"/>
    <mergeCell ref="AG79:AG80"/>
    <mergeCell ref="AG81:AG82"/>
    <mergeCell ref="AG83:AG84"/>
    <mergeCell ref="AG85:AG86"/>
  </mergeCells>
  <conditionalFormatting sqref="D3:D25 D27 D29 D31 D33 D35 D37 D39 D41 D43 D45 D47 D49 D51 D53 D55 D57 D59 D61 D63 D65 D67 D69 D71 D73 D75 D77 D79 D81 D83 D85 D87 D89 D91 D93 D95 D97 D99">
    <cfRule type="colorScale" priority="2">
      <colorScale>
        <cfvo type="num" val="$B$103"/>
        <cfvo type="num" val="$A$103"/>
        <cfvo type="num" val="$C$103"/>
        <color rgb="FF00FF00"/>
        <color rgb="FFFFFF00"/>
        <color rgb="FFFF0000"/>
      </colorScale>
    </cfRule>
  </conditionalFormatting>
  <conditionalFormatting sqref="C3:C100">
    <cfRule type="colorScale" priority="1">
      <colorScale>
        <cfvo type="num" val="$B$105"/>
        <cfvo type="num" val="$A$105"/>
        <cfvo type="num" val="$C$105"/>
        <color rgb="FF00FF00"/>
        <color rgb="FFFFFF00"/>
        <color rgb="FFFF0000"/>
      </colorScale>
    </cfRule>
  </conditionalFormatting>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Tomas_Vavrinec</dc:creator>
  <cp:lastModifiedBy>Tomas_Vavrinec</cp:lastModifiedBy>
  <dcterms:created xsi:type="dcterms:W3CDTF">2019-12-25T20:30:06Z</dcterms:created>
  <dcterms:modified xsi:type="dcterms:W3CDTF">2020-02-18T18:59:50Z</dcterms:modified>
</cp:coreProperties>
</file>