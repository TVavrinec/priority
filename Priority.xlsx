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mas_Vavrinec\Desktop\"/>
    </mc:Choice>
  </mc:AlternateContent>
  <xr:revisionPtr revIDLastSave="0" documentId="13_ncr:1_{D3571BCF-35CF-48C1-B4B1-52C7A9757CC3}" xr6:coauthVersionLast="45" xr6:coauthVersionMax="45" xr10:uidLastSave="{00000000-0000-0000-0000-000000000000}"/>
  <bookViews>
    <workbookView xWindow="-120" yWindow="-120" windowWidth="29040" windowHeight="15990" xr2:uid="{D7D36B7A-9CEA-4288-8C8E-B13907822A48}"/>
  </bookViews>
  <sheets>
    <sheet name="Lis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4" i="1" l="1"/>
  <c r="C25" i="1"/>
  <c r="C19" i="1"/>
  <c r="D24" i="1"/>
  <c r="B102" i="1" l="1"/>
  <c r="D21" i="1"/>
  <c r="D5" i="1"/>
  <c r="D7" i="1"/>
  <c r="D9" i="1"/>
  <c r="D11" i="1"/>
  <c r="D13" i="1"/>
  <c r="D15" i="1"/>
  <c r="C102" i="1" s="1"/>
  <c r="A102" i="1" s="1"/>
  <c r="D17" i="1"/>
  <c r="D19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04" i="1" s="1"/>
  <c r="C16" i="1"/>
  <c r="C17" i="1"/>
  <c r="C18" i="1"/>
  <c r="C20" i="1"/>
  <c r="C21" i="1"/>
  <c r="C22" i="1"/>
  <c r="C23" i="1"/>
  <c r="C3" i="1"/>
  <c r="B104" i="1" l="1"/>
  <c r="A104" i="1" s="1"/>
</calcChain>
</file>

<file path=xl/sharedStrings.xml><?xml version="1.0" encoding="utf-8"?>
<sst xmlns="http://schemas.openxmlformats.org/spreadsheetml/2006/main" count="50" uniqueCount="49">
  <si>
    <t>úkol</t>
  </si>
  <si>
    <t>obtížnost (časová)</t>
  </si>
  <si>
    <t>slib</t>
  </si>
  <si>
    <t>výroba</t>
  </si>
  <si>
    <t>škola</t>
  </si>
  <si>
    <t>SOČ</t>
  </si>
  <si>
    <t>RP</t>
  </si>
  <si>
    <t>RPS</t>
  </si>
  <si>
    <t>RS</t>
  </si>
  <si>
    <t>3D model</t>
  </si>
  <si>
    <t>JLCPCB</t>
  </si>
  <si>
    <t>ostatní</t>
  </si>
  <si>
    <t>skupuině</t>
  </si>
  <si>
    <t>mezi řečí</t>
  </si>
  <si>
    <t>Praha</t>
  </si>
  <si>
    <t>pololetí</t>
  </si>
  <si>
    <t>robotárna</t>
  </si>
  <si>
    <t>vývoj FirstBota</t>
  </si>
  <si>
    <t>vývoj SchoolBota</t>
  </si>
  <si>
    <t>vývoj BlackBoxu</t>
  </si>
  <si>
    <t>opravy desek děckám</t>
  </si>
  <si>
    <t>Martin. Konzultace</t>
  </si>
  <si>
    <t>analogové encodery</t>
  </si>
  <si>
    <t>Smolda</t>
  </si>
  <si>
    <t>vyměna BIOSu</t>
  </si>
  <si>
    <t>deska</t>
  </si>
  <si>
    <t>doladit mechaniku</t>
  </si>
  <si>
    <t>otestovat mecha</t>
  </si>
  <si>
    <t>nahradit Q6 na RB3202 (opravit dráhu START_GATE)</t>
  </si>
  <si>
    <t>doladit čtení</t>
  </si>
  <si>
    <t>tolerance</t>
  </si>
  <si>
    <t>Toy Cleanup</t>
  </si>
  <si>
    <t>Jirka</t>
  </si>
  <si>
    <t>Burda</t>
  </si>
  <si>
    <t>duležité</t>
  </si>
  <si>
    <t>Youtube tutorialy</t>
  </si>
  <si>
    <t xml:space="preserve">Eagle </t>
  </si>
  <si>
    <t>Solid ozubení</t>
  </si>
  <si>
    <t>fusion</t>
  </si>
  <si>
    <t>Ja</t>
  </si>
  <si>
    <t>výpočty zviraznování</t>
  </si>
  <si>
    <t>minymální prioryta</t>
  </si>
  <si>
    <t>maximální prioryta</t>
  </si>
  <si>
    <t>priorita</t>
  </si>
  <si>
    <t>deadline</t>
  </si>
  <si>
    <t>kroužky</t>
  </si>
  <si>
    <t>"střed"</t>
  </si>
  <si>
    <t>LX-15d</t>
  </si>
  <si>
    <t>vyměna tranzistorů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</si>
</sst>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0" fillId="0" borderId="0" xfId="0" applyNumberFormat="1"/>
    <xf numFmtId="3" fontId="0" fillId="0" borderId="0" xfId="0" applyNumberFormat="1"/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0" fillId="0" borderId="8" xfId="0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textRotation="180" wrapText="1"/>
    </xf>
    <xf numFmtId="0" fontId="0" fillId="0" borderId="0" xfId="0" applyBorder="1" applyAlignment="1">
      <alignment horizontal="center" vertical="center" textRotation="180" wrapText="1"/>
    </xf>
    <xf numFmtId="0" fontId="0" fillId="0" borderId="8" xfId="0" applyBorder="1" applyAlignment="1">
      <alignment horizontal="center" vertical="center" textRotation="180" wrapText="1"/>
    </xf>
    <xf numFmtId="0" fontId="0" fillId="0" borderId="7" xfId="0" applyBorder="1" applyAlignment="1">
      <alignment horizontal="center" vertical="center" textRotation="180" wrapText="1"/>
    </xf>
    <xf numFmtId="0" fontId="0" fillId="0" borderId="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0" fillId="0" borderId="6" xfId="0" applyBorder="1"/>
    <xf numFmtId="3" fontId="0" fillId="0" borderId="2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" fontId="0" fillId="0" borderId="1" xfId="0" applyNumberFormat="1" applyBorder="1" applyAlignment="1">
      <alignment vertical="center"/>
    </xf>
    <xf numFmtId="4" fontId="0" fillId="0" borderId="12" xfId="0" applyNumberFormat="1" applyBorder="1" applyAlignment="1">
      <alignment vertical="center"/>
    </xf>
    <xf numFmtId="4" fontId="0" fillId="0" borderId="0" xfId="0" applyNumberFormat="1"/>
    <xf numFmtId="3" fontId="0" fillId="0" borderId="1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3" fontId="0" fillId="0" borderId="7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ální" xfId="0" builtinId="0"/>
  </cellStyles>
  <dxfs count="0"/>
  <tableStyles count="0" defaultTableStyle="TableStyleMedium2" defaultPivotStyle="PivotStyleLight16"/>
  <colors>
    <mruColors>
      <color rgb="FFFF0000"/>
      <color rgb="FFFFFF00"/>
      <color rgb="FF00FF00"/>
      <color rgb="FF00FFFF"/>
      <color rgb="FFFA0000"/>
      <color rgb="FF32B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B525-A7D0-4EB5-A469-CD7E4DF90C72}">
  <dimension ref="A1:BE104"/>
  <sheetViews>
    <sheetView tabSelected="1" topLeftCell="A9" zoomScaleNormal="100" workbookViewId="0">
      <selection activeCell="D21" sqref="D21:D23"/>
    </sheetView>
  </sheetViews>
  <sheetFormatPr defaultRowHeight="15" x14ac:dyDescent="0.25"/>
  <cols>
    <col min="1" max="1" width="30.7109375" customWidth="1"/>
    <col min="2" max="2" width="28.5703125" customWidth="1"/>
    <col min="3" max="4" width="7.7109375" customWidth="1"/>
    <col min="5" max="5" width="10.7109375" hidden="1" customWidth="1"/>
    <col min="6" max="6" width="18.7109375" hidden="1" customWidth="1"/>
    <col min="7" max="7" width="6.7109375" customWidth="1"/>
    <col min="8" max="35" width="5.7109375" customWidth="1"/>
  </cols>
  <sheetData>
    <row r="1" spans="1:57" ht="24.95" customHeight="1" thickBot="1" x14ac:dyDescent="0.45">
      <c r="A1" s="3" t="s">
        <v>0</v>
      </c>
      <c r="B1" s="3"/>
      <c r="C1" s="56" t="s">
        <v>43</v>
      </c>
      <c r="D1" s="57"/>
      <c r="E1" s="57" t="s">
        <v>1</v>
      </c>
      <c r="F1" s="57"/>
      <c r="G1" s="44"/>
      <c r="H1" s="56" t="s">
        <v>2</v>
      </c>
      <c r="I1" s="57"/>
      <c r="J1" s="57"/>
      <c r="K1" s="57"/>
      <c r="L1" s="57"/>
      <c r="M1" s="57"/>
      <c r="N1" s="57"/>
      <c r="O1" s="57"/>
      <c r="P1" s="57"/>
      <c r="Q1" s="57"/>
      <c r="R1" s="62"/>
      <c r="S1" s="56" t="s">
        <v>44</v>
      </c>
      <c r="T1" s="57"/>
      <c r="U1" s="62"/>
      <c r="V1" s="56" t="s">
        <v>3</v>
      </c>
      <c r="W1" s="62"/>
      <c r="X1" s="56" t="s">
        <v>4</v>
      </c>
      <c r="Y1" s="62"/>
      <c r="Z1" s="56" t="s">
        <v>45</v>
      </c>
      <c r="AA1" s="57"/>
      <c r="AB1" s="57"/>
      <c r="AC1" s="57"/>
      <c r="AD1" s="57"/>
      <c r="AE1" s="57"/>
      <c r="AF1" s="57"/>
      <c r="AG1" s="62"/>
      <c r="AH1" s="56" t="s">
        <v>5</v>
      </c>
      <c r="AI1" s="62"/>
      <c r="AJ1" s="39" t="s">
        <v>39</v>
      </c>
    </row>
    <row r="2" spans="1:57" s="2" customFormat="1" ht="50.1" customHeight="1" thickBot="1" x14ac:dyDescent="0.3">
      <c r="C2" s="24"/>
      <c r="D2" s="23"/>
      <c r="E2" s="23"/>
      <c r="F2" s="23"/>
      <c r="G2" s="25"/>
      <c r="H2" s="63" t="s">
        <v>12</v>
      </c>
      <c r="I2" s="61"/>
      <c r="J2" s="61" t="s">
        <v>34</v>
      </c>
      <c r="K2" s="61"/>
      <c r="L2" s="61" t="s">
        <v>13</v>
      </c>
      <c r="M2" s="61"/>
      <c r="N2" s="61" t="s">
        <v>32</v>
      </c>
      <c r="O2" s="61"/>
      <c r="P2" s="61" t="s">
        <v>33</v>
      </c>
      <c r="Q2" s="61"/>
      <c r="R2" s="17"/>
      <c r="S2" s="18" t="s">
        <v>14</v>
      </c>
      <c r="T2" s="19" t="s">
        <v>15</v>
      </c>
      <c r="U2" s="20" t="s">
        <v>16</v>
      </c>
      <c r="V2" s="21" t="s">
        <v>10</v>
      </c>
      <c r="W2" s="20" t="s">
        <v>11</v>
      </c>
      <c r="X2" s="22"/>
      <c r="Y2" s="17"/>
      <c r="Z2" s="63" t="s">
        <v>6</v>
      </c>
      <c r="AA2" s="61"/>
      <c r="AB2" s="61" t="s">
        <v>7</v>
      </c>
      <c r="AC2" s="61"/>
      <c r="AD2" s="61" t="s">
        <v>8</v>
      </c>
      <c r="AE2" s="61"/>
      <c r="AF2" s="61" t="s">
        <v>9</v>
      </c>
      <c r="AG2" s="66"/>
      <c r="AH2" s="63"/>
      <c r="AI2" s="66"/>
      <c r="AJ2" s="40"/>
    </row>
    <row r="3" spans="1:57" ht="30" customHeight="1" thickBot="1" x14ac:dyDescent="0.3">
      <c r="A3" s="54" t="s">
        <v>17</v>
      </c>
      <c r="B3" s="6" t="s">
        <v>25</v>
      </c>
      <c r="C3" s="45">
        <f>I3+K3+(M3/10)+O3+Q3+R3+S3+T3+U3+V3+W3+Y3+AA3+AC3+AE3+AG3+AI3+AJ3</f>
        <v>1</v>
      </c>
      <c r="D3" s="58">
        <f>SUM(H3:AJ4)-L3-M3-M4+(L3/10)+(M3/10)+(M4/10)</f>
        <v>1</v>
      </c>
      <c r="E3" s="7"/>
      <c r="F3" s="8"/>
      <c r="G3" s="26"/>
      <c r="H3" s="64"/>
      <c r="I3" s="29"/>
      <c r="J3" s="68"/>
      <c r="K3" s="29"/>
      <c r="L3" s="68"/>
      <c r="M3" s="29"/>
      <c r="N3" s="68"/>
      <c r="O3" s="29"/>
      <c r="P3" s="68"/>
      <c r="Q3" s="29"/>
      <c r="R3" s="33"/>
      <c r="S3" s="32"/>
      <c r="T3" s="29"/>
      <c r="U3" s="33"/>
      <c r="V3" s="32"/>
      <c r="W3" s="33"/>
      <c r="X3" s="64"/>
      <c r="Y3" s="33"/>
      <c r="Z3" s="64"/>
      <c r="AA3" s="29"/>
      <c r="AB3" s="68"/>
      <c r="AC3" s="29"/>
      <c r="AD3" s="68"/>
      <c r="AE3" s="29"/>
      <c r="AF3" s="68"/>
      <c r="AG3" s="33"/>
      <c r="AH3" s="64"/>
      <c r="AI3" s="33"/>
      <c r="AJ3" s="43">
        <v>1</v>
      </c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4"/>
      <c r="BB3" s="4"/>
      <c r="BC3" s="4"/>
      <c r="BD3" s="4"/>
      <c r="BE3" s="4"/>
    </row>
    <row r="4" spans="1:57" ht="30" customHeight="1" thickBot="1" x14ac:dyDescent="0.3">
      <c r="A4" s="60"/>
      <c r="B4" s="12"/>
      <c r="C4" s="45">
        <f t="shared" ref="C4:C25" si="0">I4+K4+(M4/10)+O4+Q4+R4+S4+T4+U4+V4+W4+Y4+AA4+AC4+AE4+AG4+AI4+AJ4</f>
        <v>0</v>
      </c>
      <c r="D4" s="59"/>
      <c r="E4" s="13"/>
      <c r="F4" s="14"/>
      <c r="G4" s="27"/>
      <c r="H4" s="67"/>
      <c r="I4" s="30"/>
      <c r="J4" s="69"/>
      <c r="K4" s="30"/>
      <c r="L4" s="69"/>
      <c r="M4" s="30"/>
      <c r="N4" s="69"/>
      <c r="O4" s="30"/>
      <c r="P4" s="69"/>
      <c r="Q4" s="30"/>
      <c r="R4" s="35"/>
      <c r="S4" s="36"/>
      <c r="T4" s="30"/>
      <c r="U4" s="35"/>
      <c r="V4" s="36"/>
      <c r="W4" s="35"/>
      <c r="X4" s="65"/>
      <c r="Y4" s="35"/>
      <c r="Z4" s="67"/>
      <c r="AA4" s="30"/>
      <c r="AB4" s="69"/>
      <c r="AC4" s="30"/>
      <c r="AD4" s="69"/>
      <c r="AE4" s="30"/>
      <c r="AF4" s="69"/>
      <c r="AG4" s="35"/>
      <c r="AH4" s="67"/>
      <c r="AI4" s="35"/>
      <c r="AJ4" s="42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4"/>
      <c r="BB4" s="4"/>
      <c r="BC4" s="4"/>
      <c r="BD4" s="4"/>
      <c r="BE4" s="4"/>
    </row>
    <row r="5" spans="1:57" ht="30" customHeight="1" thickBot="1" x14ac:dyDescent="0.3">
      <c r="A5" s="54" t="s">
        <v>18</v>
      </c>
      <c r="B5" s="6" t="s">
        <v>26</v>
      </c>
      <c r="C5" s="45">
        <f t="shared" si="0"/>
        <v>5</v>
      </c>
      <c r="D5" s="58">
        <f t="shared" ref="D5" si="1">SUM(H5:AJ6)-L5-M5-M6+(L5/10)+(M5/10)+(M6/10)</f>
        <v>5</v>
      </c>
      <c r="E5" s="7"/>
      <c r="F5" s="8"/>
      <c r="G5" s="26"/>
      <c r="H5" s="64"/>
      <c r="I5" s="29"/>
      <c r="J5" s="68"/>
      <c r="K5" s="29"/>
      <c r="L5" s="68"/>
      <c r="M5" s="29"/>
      <c r="N5" s="68"/>
      <c r="O5" s="29"/>
      <c r="P5" s="68"/>
      <c r="Q5" s="29">
        <v>1</v>
      </c>
      <c r="R5" s="33"/>
      <c r="S5" s="32"/>
      <c r="T5" s="29"/>
      <c r="U5" s="33"/>
      <c r="V5" s="32"/>
      <c r="W5" s="33"/>
      <c r="X5" s="64"/>
      <c r="Y5" s="33"/>
      <c r="Z5" s="64"/>
      <c r="AA5" s="29"/>
      <c r="AB5" s="68"/>
      <c r="AC5" s="29">
        <v>1</v>
      </c>
      <c r="AD5" s="68"/>
      <c r="AE5" s="29">
        <v>1</v>
      </c>
      <c r="AF5" s="68"/>
      <c r="AG5" s="33"/>
      <c r="AH5" s="64"/>
      <c r="AI5" s="33">
        <v>1</v>
      </c>
      <c r="AJ5" s="43">
        <v>1</v>
      </c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4"/>
      <c r="BB5" s="4"/>
      <c r="BC5" s="4"/>
      <c r="BD5" s="4"/>
      <c r="BE5" s="4"/>
    </row>
    <row r="6" spans="1:57" ht="30" customHeight="1" thickBot="1" x14ac:dyDescent="0.3">
      <c r="A6" s="55"/>
      <c r="B6" s="9"/>
      <c r="C6" s="45">
        <f t="shared" si="0"/>
        <v>0</v>
      </c>
      <c r="D6" s="59"/>
      <c r="E6" s="10"/>
      <c r="F6" s="11"/>
      <c r="G6" s="28"/>
      <c r="H6" s="65"/>
      <c r="I6" s="31"/>
      <c r="J6" s="70"/>
      <c r="K6" s="31"/>
      <c r="L6" s="70"/>
      <c r="M6" s="31"/>
      <c r="N6" s="70"/>
      <c r="O6" s="31"/>
      <c r="P6" s="70"/>
      <c r="Q6" s="31"/>
      <c r="R6" s="37"/>
      <c r="S6" s="38"/>
      <c r="T6" s="31"/>
      <c r="U6" s="37"/>
      <c r="V6" s="38"/>
      <c r="W6" s="37"/>
      <c r="X6" s="65"/>
      <c r="Y6" s="37"/>
      <c r="Z6" s="65"/>
      <c r="AA6" s="31"/>
      <c r="AB6" s="70"/>
      <c r="AC6" s="31"/>
      <c r="AD6" s="70"/>
      <c r="AE6" s="31"/>
      <c r="AF6" s="70"/>
      <c r="AG6" s="37"/>
      <c r="AH6" s="65"/>
      <c r="AI6" s="37"/>
      <c r="AJ6" s="42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4"/>
      <c r="BB6" s="4"/>
      <c r="BC6" s="4"/>
      <c r="BD6" s="4"/>
      <c r="BE6" s="4"/>
    </row>
    <row r="7" spans="1:57" ht="30" customHeight="1" thickBot="1" x14ac:dyDescent="0.3">
      <c r="A7" s="54" t="s">
        <v>19</v>
      </c>
      <c r="B7" s="6" t="s">
        <v>27</v>
      </c>
      <c r="C7" s="45">
        <f t="shared" si="0"/>
        <v>5</v>
      </c>
      <c r="D7" s="58">
        <f t="shared" ref="D7" si="2">SUM(H7:AJ8)-L7-M7-M8+(L7/10)+(M7/10)+(M8/10)</f>
        <v>5</v>
      </c>
      <c r="E7" s="7"/>
      <c r="F7" s="8"/>
      <c r="G7" s="26"/>
      <c r="H7" s="64"/>
      <c r="I7" s="29"/>
      <c r="J7" s="68"/>
      <c r="K7" s="29">
        <v>1</v>
      </c>
      <c r="L7" s="68"/>
      <c r="M7" s="29"/>
      <c r="N7" s="68"/>
      <c r="O7" s="29"/>
      <c r="P7" s="68"/>
      <c r="Q7" s="29"/>
      <c r="R7" s="33"/>
      <c r="S7" s="32"/>
      <c r="T7" s="29"/>
      <c r="U7" s="33">
        <v>1</v>
      </c>
      <c r="V7" s="32"/>
      <c r="W7" s="33"/>
      <c r="X7" s="64"/>
      <c r="Y7" s="33"/>
      <c r="Z7" s="64"/>
      <c r="AA7" s="29">
        <v>1</v>
      </c>
      <c r="AB7" s="68"/>
      <c r="AC7" s="29"/>
      <c r="AD7" s="68"/>
      <c r="AE7" s="29"/>
      <c r="AF7" s="68"/>
      <c r="AG7" s="33"/>
      <c r="AH7" s="64"/>
      <c r="AI7" s="33">
        <v>1</v>
      </c>
      <c r="AJ7" s="43">
        <v>1</v>
      </c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4"/>
      <c r="BB7" s="4"/>
      <c r="BC7" s="4"/>
      <c r="BD7" s="4"/>
      <c r="BE7" s="4"/>
    </row>
    <row r="8" spans="1:57" ht="30" customHeight="1" thickBot="1" x14ac:dyDescent="0.3">
      <c r="A8" s="55"/>
      <c r="B8" s="9"/>
      <c r="C8" s="45">
        <f t="shared" si="0"/>
        <v>0</v>
      </c>
      <c r="D8" s="59"/>
      <c r="E8" s="10"/>
      <c r="F8" s="11"/>
      <c r="G8" s="28"/>
      <c r="H8" s="65"/>
      <c r="I8" s="31"/>
      <c r="J8" s="70"/>
      <c r="K8" s="31"/>
      <c r="L8" s="70"/>
      <c r="M8" s="31"/>
      <c r="N8" s="70"/>
      <c r="O8" s="31"/>
      <c r="P8" s="70"/>
      <c r="Q8" s="31"/>
      <c r="R8" s="37"/>
      <c r="S8" s="38"/>
      <c r="T8" s="31"/>
      <c r="U8" s="37"/>
      <c r="V8" s="38"/>
      <c r="W8" s="37"/>
      <c r="X8" s="65"/>
      <c r="Y8" s="37"/>
      <c r="Z8" s="65"/>
      <c r="AA8" s="31"/>
      <c r="AB8" s="70"/>
      <c r="AC8" s="31"/>
      <c r="AD8" s="70"/>
      <c r="AE8" s="31"/>
      <c r="AF8" s="70"/>
      <c r="AG8" s="37"/>
      <c r="AH8" s="65"/>
      <c r="AI8" s="37"/>
      <c r="AJ8" s="42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4"/>
      <c r="BB8" s="4"/>
      <c r="BC8" s="4"/>
      <c r="BD8" s="4"/>
      <c r="BE8" s="4"/>
    </row>
    <row r="9" spans="1:57" ht="30" customHeight="1" thickBot="1" x14ac:dyDescent="0.3">
      <c r="A9" s="54" t="s">
        <v>20</v>
      </c>
      <c r="B9" s="15" t="s">
        <v>28</v>
      </c>
      <c r="C9" s="45">
        <f t="shared" si="0"/>
        <v>2</v>
      </c>
      <c r="D9" s="58">
        <f t="shared" ref="D9" si="3">SUM(H9:AJ10)-L9-M9-M10+(L9/10)+(M9/10)+(M10/10)</f>
        <v>2</v>
      </c>
      <c r="E9" s="7"/>
      <c r="F9" s="8"/>
      <c r="G9" s="26"/>
      <c r="H9" s="64"/>
      <c r="I9" s="29"/>
      <c r="J9" s="68"/>
      <c r="K9" s="29">
        <v>1</v>
      </c>
      <c r="L9" s="68"/>
      <c r="M9" s="29"/>
      <c r="N9" s="68"/>
      <c r="O9" s="29"/>
      <c r="P9" s="68"/>
      <c r="Q9" s="29"/>
      <c r="R9" s="33"/>
      <c r="S9" s="32"/>
      <c r="T9" s="29"/>
      <c r="U9" s="33"/>
      <c r="V9" s="32"/>
      <c r="W9" s="33"/>
      <c r="X9" s="64"/>
      <c r="Y9" s="33"/>
      <c r="Z9" s="64"/>
      <c r="AA9" s="29"/>
      <c r="AB9" s="68"/>
      <c r="AC9" s="29"/>
      <c r="AD9" s="68"/>
      <c r="AE9" s="29">
        <v>1</v>
      </c>
      <c r="AF9" s="68"/>
      <c r="AG9" s="33"/>
      <c r="AH9" s="64"/>
      <c r="AI9" s="33"/>
      <c r="AJ9" s="43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4"/>
      <c r="BB9" s="4"/>
      <c r="BC9" s="4"/>
      <c r="BD9" s="4"/>
      <c r="BE9" s="4"/>
    </row>
    <row r="10" spans="1:57" ht="30" customHeight="1" thickBot="1" x14ac:dyDescent="0.3">
      <c r="A10" s="55"/>
      <c r="B10" s="9"/>
      <c r="C10" s="45">
        <f t="shared" si="0"/>
        <v>0</v>
      </c>
      <c r="D10" s="59"/>
      <c r="E10" s="10"/>
      <c r="F10" s="11"/>
      <c r="G10" s="28"/>
      <c r="H10" s="65"/>
      <c r="I10" s="31"/>
      <c r="J10" s="70"/>
      <c r="K10" s="31"/>
      <c r="L10" s="70"/>
      <c r="M10" s="31"/>
      <c r="N10" s="70"/>
      <c r="O10" s="31"/>
      <c r="P10" s="70"/>
      <c r="Q10" s="31"/>
      <c r="R10" s="37"/>
      <c r="S10" s="38"/>
      <c r="T10" s="31"/>
      <c r="U10" s="37"/>
      <c r="V10" s="38"/>
      <c r="W10" s="37"/>
      <c r="X10" s="65"/>
      <c r="Y10" s="37"/>
      <c r="Z10" s="65"/>
      <c r="AA10" s="31"/>
      <c r="AB10" s="70"/>
      <c r="AC10" s="31"/>
      <c r="AD10" s="70"/>
      <c r="AE10" s="31"/>
      <c r="AF10" s="70"/>
      <c r="AG10" s="37"/>
      <c r="AH10" s="65"/>
      <c r="AI10" s="37"/>
      <c r="AJ10" s="42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4"/>
      <c r="BB10" s="4"/>
      <c r="BC10" s="4"/>
      <c r="BD10" s="4"/>
      <c r="BE10" s="4"/>
    </row>
    <row r="11" spans="1:57" ht="30" customHeight="1" thickBot="1" x14ac:dyDescent="0.3">
      <c r="A11" s="54" t="s">
        <v>21</v>
      </c>
      <c r="B11" s="6"/>
      <c r="C11" s="45">
        <f t="shared" si="0"/>
        <v>0</v>
      </c>
      <c r="D11" s="58">
        <f t="shared" ref="D11" si="4">SUM(H11:AJ12)-L11-M11-M12+(L11/10)+(M11/10)+(M12/10)</f>
        <v>0</v>
      </c>
      <c r="E11" s="7"/>
      <c r="F11" s="8"/>
      <c r="G11" s="26"/>
      <c r="H11" s="64"/>
      <c r="I11" s="29"/>
      <c r="J11" s="68"/>
      <c r="K11" s="29"/>
      <c r="L11" s="68"/>
      <c r="M11" s="29"/>
      <c r="N11" s="68"/>
      <c r="O11" s="29"/>
      <c r="P11" s="68"/>
      <c r="Q11" s="29"/>
      <c r="R11" s="33"/>
      <c r="S11" s="32"/>
      <c r="T11" s="29"/>
      <c r="U11" s="33"/>
      <c r="V11" s="32"/>
      <c r="W11" s="33"/>
      <c r="X11" s="64"/>
      <c r="Y11" s="33"/>
      <c r="Z11" s="64"/>
      <c r="AA11" s="29"/>
      <c r="AB11" s="68"/>
      <c r="AC11" s="29"/>
      <c r="AD11" s="68"/>
      <c r="AE11" s="29"/>
      <c r="AF11" s="68"/>
      <c r="AG11" s="33"/>
      <c r="AH11" s="64"/>
      <c r="AI11" s="33"/>
      <c r="AJ11" s="43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4"/>
      <c r="BB11" s="4"/>
      <c r="BC11" s="4"/>
      <c r="BD11" s="4"/>
      <c r="BE11" s="4"/>
    </row>
    <row r="12" spans="1:57" ht="30" customHeight="1" thickBot="1" x14ac:dyDescent="0.3">
      <c r="A12" s="55"/>
      <c r="B12" s="9"/>
      <c r="C12" s="45">
        <f t="shared" si="0"/>
        <v>0</v>
      </c>
      <c r="D12" s="59"/>
      <c r="E12" s="10"/>
      <c r="F12" s="11"/>
      <c r="G12" s="28"/>
      <c r="H12" s="65"/>
      <c r="I12" s="31"/>
      <c r="J12" s="70"/>
      <c r="K12" s="31"/>
      <c r="L12" s="70"/>
      <c r="M12" s="31"/>
      <c r="N12" s="70"/>
      <c r="O12" s="31"/>
      <c r="P12" s="70"/>
      <c r="Q12" s="31"/>
      <c r="R12" s="37"/>
      <c r="S12" s="38"/>
      <c r="T12" s="31"/>
      <c r="U12" s="37"/>
      <c r="V12" s="38"/>
      <c r="W12" s="37"/>
      <c r="X12" s="65"/>
      <c r="Y12" s="37"/>
      <c r="Z12" s="65"/>
      <c r="AA12" s="31"/>
      <c r="AB12" s="70"/>
      <c r="AC12" s="31"/>
      <c r="AD12" s="70"/>
      <c r="AE12" s="31"/>
      <c r="AF12" s="70"/>
      <c r="AG12" s="37"/>
      <c r="AH12" s="65"/>
      <c r="AI12" s="37"/>
      <c r="AJ12" s="42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4"/>
      <c r="BB12" s="4"/>
      <c r="BC12" s="4"/>
      <c r="BD12" s="4"/>
      <c r="BE12" s="4"/>
    </row>
    <row r="13" spans="1:57" ht="30" customHeight="1" thickBot="1" x14ac:dyDescent="0.3">
      <c r="A13" s="54" t="s">
        <v>22</v>
      </c>
      <c r="B13" s="6" t="s">
        <v>29</v>
      </c>
      <c r="C13" s="45">
        <f t="shared" si="0"/>
        <v>1</v>
      </c>
      <c r="D13" s="58">
        <f t="shared" ref="D13" si="5">SUM(H13:AJ14)-L13-M13-M14+(L13/10)+(M13/10)+(M14/10)</f>
        <v>2.1</v>
      </c>
      <c r="E13" s="7"/>
      <c r="F13" s="8"/>
      <c r="G13" s="26"/>
      <c r="H13" s="64"/>
      <c r="I13" s="29"/>
      <c r="J13" s="68"/>
      <c r="K13" s="29"/>
      <c r="L13" s="68">
        <v>1</v>
      </c>
      <c r="M13" s="29"/>
      <c r="N13" s="68"/>
      <c r="O13" s="29"/>
      <c r="P13" s="68"/>
      <c r="Q13" s="29"/>
      <c r="R13" s="33"/>
      <c r="S13" s="32"/>
      <c r="T13" s="29"/>
      <c r="U13" s="33"/>
      <c r="V13" s="32"/>
      <c r="W13" s="33"/>
      <c r="X13" s="64"/>
      <c r="Y13" s="33"/>
      <c r="Z13" s="64"/>
      <c r="AA13" s="29"/>
      <c r="AB13" s="68"/>
      <c r="AC13" s="29"/>
      <c r="AD13" s="68">
        <v>1</v>
      </c>
      <c r="AE13" s="29"/>
      <c r="AF13" s="68"/>
      <c r="AG13" s="33"/>
      <c r="AH13" s="64"/>
      <c r="AI13" s="33"/>
      <c r="AJ13" s="43">
        <v>1</v>
      </c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4"/>
      <c r="BB13" s="4"/>
      <c r="BC13" s="4"/>
      <c r="BD13" s="4"/>
      <c r="BE13" s="4"/>
    </row>
    <row r="14" spans="1:57" ht="30" customHeight="1" thickBot="1" x14ac:dyDescent="0.3">
      <c r="A14" s="55"/>
      <c r="B14" s="9"/>
      <c r="C14" s="45">
        <f t="shared" si="0"/>
        <v>0</v>
      </c>
      <c r="D14" s="59"/>
      <c r="E14" s="10"/>
      <c r="F14" s="11"/>
      <c r="G14" s="28"/>
      <c r="H14" s="65"/>
      <c r="I14" s="31"/>
      <c r="J14" s="70"/>
      <c r="K14" s="31"/>
      <c r="L14" s="70"/>
      <c r="M14" s="31"/>
      <c r="N14" s="70"/>
      <c r="O14" s="31"/>
      <c r="P14" s="70"/>
      <c r="Q14" s="31"/>
      <c r="R14" s="37"/>
      <c r="S14" s="38"/>
      <c r="T14" s="31"/>
      <c r="U14" s="37"/>
      <c r="V14" s="38"/>
      <c r="W14" s="37"/>
      <c r="X14" s="65"/>
      <c r="Y14" s="37"/>
      <c r="Z14" s="65"/>
      <c r="AA14" s="31"/>
      <c r="AB14" s="70"/>
      <c r="AC14" s="31"/>
      <c r="AD14" s="70"/>
      <c r="AE14" s="31"/>
      <c r="AF14" s="70"/>
      <c r="AG14" s="37"/>
      <c r="AH14" s="65"/>
      <c r="AI14" s="37"/>
      <c r="AJ14" s="42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4"/>
      <c r="BB14" s="4"/>
      <c r="BC14" s="4"/>
      <c r="BD14" s="4"/>
      <c r="BE14" s="4"/>
    </row>
    <row r="15" spans="1:57" ht="30" customHeight="1" thickBot="1" x14ac:dyDescent="0.3">
      <c r="A15" s="54" t="s">
        <v>23</v>
      </c>
      <c r="B15" s="6" t="s">
        <v>30</v>
      </c>
      <c r="C15" s="45">
        <f t="shared" si="0"/>
        <v>5</v>
      </c>
      <c r="D15" s="58">
        <f t="shared" ref="D15" si="6">SUM(H15:AJ16)-L15-M15-M16+(L15/10)+(M15/10)+(M16/10)</f>
        <v>5</v>
      </c>
      <c r="E15" s="7"/>
      <c r="F15" s="8"/>
      <c r="G15" s="26"/>
      <c r="H15" s="64"/>
      <c r="I15" s="29"/>
      <c r="J15" s="68"/>
      <c r="K15" s="29"/>
      <c r="L15" s="68"/>
      <c r="M15" s="29"/>
      <c r="N15" s="68"/>
      <c r="O15" s="29"/>
      <c r="P15" s="68"/>
      <c r="Q15" s="29"/>
      <c r="R15" s="33"/>
      <c r="S15" s="32"/>
      <c r="T15" s="29">
        <v>1</v>
      </c>
      <c r="U15" s="33"/>
      <c r="V15" s="32"/>
      <c r="W15" s="33"/>
      <c r="X15" s="64"/>
      <c r="Y15" s="33">
        <v>4</v>
      </c>
      <c r="Z15" s="64"/>
      <c r="AA15" s="29"/>
      <c r="AB15" s="68"/>
      <c r="AC15" s="29"/>
      <c r="AD15" s="68"/>
      <c r="AE15" s="29"/>
      <c r="AF15" s="68"/>
      <c r="AG15" s="33"/>
      <c r="AH15" s="64"/>
      <c r="AI15" s="33"/>
      <c r="AJ15" s="43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4"/>
      <c r="BB15" s="4"/>
      <c r="BC15" s="4"/>
      <c r="BD15" s="4"/>
      <c r="BE15" s="4"/>
    </row>
    <row r="16" spans="1:57" ht="30" customHeight="1" thickBot="1" x14ac:dyDescent="0.3">
      <c r="A16" s="55"/>
      <c r="B16" s="9"/>
      <c r="C16" s="45">
        <f t="shared" si="0"/>
        <v>0</v>
      </c>
      <c r="D16" s="59"/>
      <c r="E16" s="10"/>
      <c r="F16" s="11"/>
      <c r="G16" s="28"/>
      <c r="H16" s="65"/>
      <c r="I16" s="31"/>
      <c r="J16" s="70"/>
      <c r="K16" s="31"/>
      <c r="L16" s="70"/>
      <c r="M16" s="31"/>
      <c r="N16" s="70"/>
      <c r="O16" s="31"/>
      <c r="P16" s="70"/>
      <c r="Q16" s="31"/>
      <c r="R16" s="37"/>
      <c r="S16" s="38"/>
      <c r="T16" s="31"/>
      <c r="U16" s="37"/>
      <c r="V16" s="38"/>
      <c r="W16" s="37"/>
      <c r="X16" s="65"/>
      <c r="Y16" s="37"/>
      <c r="Z16" s="65"/>
      <c r="AA16" s="31"/>
      <c r="AB16" s="70"/>
      <c r="AC16" s="31"/>
      <c r="AD16" s="70"/>
      <c r="AE16" s="31"/>
      <c r="AF16" s="70"/>
      <c r="AG16" s="37"/>
      <c r="AH16" s="65"/>
      <c r="AI16" s="37"/>
      <c r="AJ16" s="42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4"/>
      <c r="BB16" s="4"/>
      <c r="BC16" s="4"/>
      <c r="BD16" s="4"/>
      <c r="BE16" s="4"/>
    </row>
    <row r="17" spans="1:57" ht="30" customHeight="1" thickBot="1" x14ac:dyDescent="0.3">
      <c r="A17" s="54" t="s">
        <v>24</v>
      </c>
      <c r="B17" s="6"/>
      <c r="C17" s="45">
        <f t="shared" si="0"/>
        <v>2</v>
      </c>
      <c r="D17" s="58">
        <f t="shared" ref="D17" si="7">SUM(H17:AJ18)-L17-M17-M18+(L17/10)+(M17/10)+(M18/10)</f>
        <v>2</v>
      </c>
      <c r="E17" s="7"/>
      <c r="F17" s="8"/>
      <c r="G17" s="26"/>
      <c r="H17" s="64"/>
      <c r="I17" s="29"/>
      <c r="J17" s="68"/>
      <c r="K17" s="29"/>
      <c r="L17" s="68"/>
      <c r="M17" s="29"/>
      <c r="N17" s="68"/>
      <c r="O17" s="29"/>
      <c r="P17" s="68"/>
      <c r="Q17" s="29"/>
      <c r="R17" s="33"/>
      <c r="S17" s="32"/>
      <c r="T17" s="29"/>
      <c r="U17" s="33"/>
      <c r="V17" s="32"/>
      <c r="W17" s="33"/>
      <c r="X17" s="64"/>
      <c r="Y17" s="33"/>
      <c r="Z17" s="64"/>
      <c r="AA17" s="29"/>
      <c r="AB17" s="68"/>
      <c r="AC17" s="29"/>
      <c r="AD17" s="68"/>
      <c r="AE17" s="29"/>
      <c r="AF17" s="68"/>
      <c r="AG17" s="33"/>
      <c r="AH17" s="64"/>
      <c r="AI17" s="33"/>
      <c r="AJ17" s="71">
        <v>2</v>
      </c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4"/>
      <c r="BB17" s="4"/>
      <c r="BC17" s="4"/>
      <c r="BD17" s="4"/>
      <c r="BE17" s="4"/>
    </row>
    <row r="18" spans="1:57" ht="30" customHeight="1" thickBot="1" x14ac:dyDescent="0.3">
      <c r="A18" s="55"/>
      <c r="B18" s="9"/>
      <c r="C18" s="45">
        <f t="shared" si="0"/>
        <v>0</v>
      </c>
      <c r="D18" s="59"/>
      <c r="E18" s="10"/>
      <c r="F18" s="11"/>
      <c r="G18" s="28"/>
      <c r="H18" s="65"/>
      <c r="I18" s="31"/>
      <c r="J18" s="70"/>
      <c r="K18" s="31"/>
      <c r="L18" s="70"/>
      <c r="M18" s="31"/>
      <c r="N18" s="70"/>
      <c r="O18" s="31"/>
      <c r="P18" s="70"/>
      <c r="Q18" s="31"/>
      <c r="R18" s="37"/>
      <c r="S18" s="38"/>
      <c r="T18" s="31"/>
      <c r="U18" s="37"/>
      <c r="V18" s="38"/>
      <c r="W18" s="37"/>
      <c r="X18" s="65"/>
      <c r="Y18" s="37"/>
      <c r="Z18" s="65"/>
      <c r="AA18" s="31"/>
      <c r="AB18" s="70"/>
      <c r="AC18" s="31"/>
      <c r="AD18" s="70"/>
      <c r="AE18" s="31"/>
      <c r="AF18" s="70"/>
      <c r="AG18" s="37"/>
      <c r="AH18" s="65"/>
      <c r="AI18" s="37"/>
      <c r="AJ18" s="72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4"/>
      <c r="BB18" s="4"/>
      <c r="BC18" s="4"/>
      <c r="BD18" s="4"/>
      <c r="BE18" s="4"/>
    </row>
    <row r="19" spans="1:57" ht="30" customHeight="1" thickBot="1" x14ac:dyDescent="0.3">
      <c r="A19" s="54" t="s">
        <v>14</v>
      </c>
      <c r="B19" s="16" t="s">
        <v>31</v>
      </c>
      <c r="C19" s="45">
        <f>I19+K19+(M19/10)+O19+Q19+R19+S19+T19+U19+V19+W19+Y19+AA19+AC19+AE19+AG19+AI19+AJ19</f>
        <v>4</v>
      </c>
      <c r="D19" s="58">
        <f t="shared" ref="D19" si="8">SUM(H19:AJ20)-L19-M19-M20+(L19/10)+(M19/10)+(M20/10)</f>
        <v>4</v>
      </c>
      <c r="E19" s="7"/>
      <c r="F19" s="8"/>
      <c r="G19" s="26"/>
      <c r="H19" s="64"/>
      <c r="I19" s="29"/>
      <c r="J19" s="68"/>
      <c r="K19" s="29">
        <v>1</v>
      </c>
      <c r="L19" s="68"/>
      <c r="M19" s="29"/>
      <c r="N19" s="68"/>
      <c r="O19" s="29"/>
      <c r="P19" s="68"/>
      <c r="Q19" s="29"/>
      <c r="R19" s="33"/>
      <c r="S19" s="32">
        <v>1</v>
      </c>
      <c r="T19" s="29"/>
      <c r="U19" s="33"/>
      <c r="V19" s="32"/>
      <c r="W19" s="33"/>
      <c r="X19" s="64"/>
      <c r="Y19" s="33"/>
      <c r="Z19" s="64"/>
      <c r="AA19" s="29"/>
      <c r="AB19" s="68"/>
      <c r="AC19" s="29"/>
      <c r="AD19" s="68"/>
      <c r="AE19" s="29"/>
      <c r="AF19" s="68"/>
      <c r="AG19" s="33"/>
      <c r="AH19" s="64"/>
      <c r="AI19" s="33"/>
      <c r="AJ19" s="43">
        <v>2</v>
      </c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4"/>
      <c r="BB19" s="4"/>
      <c r="BC19" s="4"/>
      <c r="BD19" s="4"/>
      <c r="BE19" s="4"/>
    </row>
    <row r="20" spans="1:57" ht="30" customHeight="1" thickBot="1" x14ac:dyDescent="0.3">
      <c r="A20" s="55"/>
      <c r="B20" s="9"/>
      <c r="C20" s="45">
        <f t="shared" si="0"/>
        <v>0</v>
      </c>
      <c r="D20" s="59"/>
      <c r="E20" s="10"/>
      <c r="F20" s="11"/>
      <c r="G20" s="28"/>
      <c r="H20" s="65"/>
      <c r="I20" s="31"/>
      <c r="J20" s="70"/>
      <c r="K20" s="31"/>
      <c r="L20" s="70"/>
      <c r="M20" s="31"/>
      <c r="N20" s="70"/>
      <c r="O20" s="31"/>
      <c r="P20" s="70"/>
      <c r="Q20" s="31"/>
      <c r="R20" s="37"/>
      <c r="S20" s="38"/>
      <c r="T20" s="31"/>
      <c r="U20" s="37"/>
      <c r="V20" s="38"/>
      <c r="W20" s="37"/>
      <c r="X20" s="65"/>
      <c r="Y20" s="37"/>
      <c r="Z20" s="65"/>
      <c r="AA20" s="31"/>
      <c r="AB20" s="70"/>
      <c r="AC20" s="31"/>
      <c r="AD20" s="70"/>
      <c r="AE20" s="31"/>
      <c r="AF20" s="70"/>
      <c r="AG20" s="37"/>
      <c r="AH20" s="65"/>
      <c r="AI20" s="37"/>
      <c r="AJ20" s="42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4"/>
      <c r="BB20" s="4"/>
      <c r="BC20" s="4"/>
      <c r="BD20" s="4"/>
      <c r="BE20" s="4"/>
    </row>
    <row r="21" spans="1:57" ht="30" customHeight="1" thickBot="1" x14ac:dyDescent="0.3">
      <c r="A21" s="54" t="s">
        <v>35</v>
      </c>
      <c r="B21" s="6" t="s">
        <v>36</v>
      </c>
      <c r="C21" s="45">
        <f t="shared" si="0"/>
        <v>3</v>
      </c>
      <c r="D21" s="58">
        <f>SUM(H21:AJ23)-L21-M21-M22-M23+(L21/10)+(M21/10)+(M22/10)+(M23/10)</f>
        <v>6</v>
      </c>
      <c r="E21" s="8"/>
      <c r="F21" s="8"/>
      <c r="G21" s="26"/>
      <c r="H21" s="64"/>
      <c r="I21" s="29"/>
      <c r="J21" s="68"/>
      <c r="K21" s="29">
        <v>1</v>
      </c>
      <c r="L21" s="68"/>
      <c r="M21" s="29"/>
      <c r="N21" s="68"/>
      <c r="O21" s="29"/>
      <c r="P21" s="68"/>
      <c r="Q21" s="29">
        <v>1</v>
      </c>
      <c r="R21" s="33"/>
      <c r="S21" s="32"/>
      <c r="T21" s="29"/>
      <c r="U21" s="33"/>
      <c r="V21" s="32"/>
      <c r="W21" s="33"/>
      <c r="X21" s="64"/>
      <c r="Y21" s="33"/>
      <c r="Z21" s="64"/>
      <c r="AA21" s="29"/>
      <c r="AB21" s="68"/>
      <c r="AC21" s="29"/>
      <c r="AD21" s="68"/>
      <c r="AE21" s="29">
        <v>1</v>
      </c>
      <c r="AF21" s="68"/>
      <c r="AG21" s="33"/>
      <c r="AH21" s="64"/>
      <c r="AI21" s="33"/>
      <c r="AJ21" s="41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4"/>
      <c r="BB21" s="4"/>
      <c r="BC21" s="4"/>
      <c r="BD21" s="4"/>
      <c r="BE21" s="4"/>
    </row>
    <row r="22" spans="1:57" ht="30" customHeight="1" thickBot="1" x14ac:dyDescent="0.3">
      <c r="A22" s="60"/>
      <c r="B22" s="12" t="s">
        <v>37</v>
      </c>
      <c r="C22" s="45">
        <f t="shared" si="0"/>
        <v>0</v>
      </c>
      <c r="D22" s="75"/>
      <c r="E22" s="14"/>
      <c r="F22" s="14"/>
      <c r="G22" s="27"/>
      <c r="H22" s="67"/>
      <c r="I22" s="30"/>
      <c r="J22" s="69"/>
      <c r="K22" s="30"/>
      <c r="L22" s="69"/>
      <c r="M22" s="30"/>
      <c r="N22" s="69"/>
      <c r="O22" s="30"/>
      <c r="P22" s="69"/>
      <c r="Q22" s="30"/>
      <c r="R22" s="35"/>
      <c r="S22" s="36"/>
      <c r="T22" s="30"/>
      <c r="U22" s="35"/>
      <c r="V22" s="36"/>
      <c r="W22" s="35"/>
      <c r="X22" s="67"/>
      <c r="Y22" s="35"/>
      <c r="Z22" s="67"/>
      <c r="AA22" s="30"/>
      <c r="AB22" s="69"/>
      <c r="AC22" s="30"/>
      <c r="AD22" s="69"/>
      <c r="AE22" s="30"/>
      <c r="AF22" s="69"/>
      <c r="AG22" s="35"/>
      <c r="AH22" s="67"/>
      <c r="AI22" s="35"/>
      <c r="AJ22" s="41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4"/>
      <c r="BB22" s="4"/>
      <c r="BC22" s="4"/>
      <c r="BD22" s="4"/>
      <c r="BE22" s="4"/>
    </row>
    <row r="23" spans="1:57" ht="30" customHeight="1" thickBot="1" x14ac:dyDescent="0.3">
      <c r="A23" s="55"/>
      <c r="B23" s="9" t="s">
        <v>38</v>
      </c>
      <c r="C23" s="46">
        <f t="shared" si="0"/>
        <v>3</v>
      </c>
      <c r="D23" s="59"/>
      <c r="E23" s="11"/>
      <c r="F23" s="11"/>
      <c r="G23" s="28"/>
      <c r="H23" s="65"/>
      <c r="I23" s="31">
        <v>1</v>
      </c>
      <c r="J23" s="70"/>
      <c r="K23" s="31"/>
      <c r="L23" s="70"/>
      <c r="M23" s="31"/>
      <c r="N23" s="70"/>
      <c r="O23" s="31"/>
      <c r="P23" s="70"/>
      <c r="Q23" s="31">
        <v>1</v>
      </c>
      <c r="R23" s="37"/>
      <c r="S23" s="38"/>
      <c r="T23" s="31"/>
      <c r="U23" s="37"/>
      <c r="V23" s="38"/>
      <c r="W23" s="37"/>
      <c r="X23" s="65"/>
      <c r="Y23" s="37"/>
      <c r="Z23" s="65"/>
      <c r="AA23" s="31"/>
      <c r="AB23" s="70"/>
      <c r="AC23" s="31"/>
      <c r="AD23" s="70"/>
      <c r="AE23" s="31">
        <v>1</v>
      </c>
      <c r="AF23" s="70"/>
      <c r="AG23" s="37"/>
      <c r="AH23" s="65"/>
      <c r="AI23" s="37"/>
      <c r="AJ23" s="42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4"/>
      <c r="BB23" s="4"/>
      <c r="BC23" s="4"/>
      <c r="BD23" s="4"/>
      <c r="BE23" s="4"/>
    </row>
    <row r="24" spans="1:57" ht="30" customHeight="1" thickBot="1" x14ac:dyDescent="0.3">
      <c r="A24" s="54" t="s">
        <v>47</v>
      </c>
      <c r="B24" s="6" t="s">
        <v>48</v>
      </c>
      <c r="C24" s="46">
        <f t="shared" si="0"/>
        <v>4</v>
      </c>
      <c r="D24" s="68">
        <f>SUM(H24:AJ25)</f>
        <v>4</v>
      </c>
      <c r="E24" s="8"/>
      <c r="F24" s="8"/>
      <c r="G24" s="26"/>
      <c r="H24" s="64"/>
      <c r="I24" s="52"/>
      <c r="J24" s="68"/>
      <c r="K24" s="52"/>
      <c r="L24" s="68"/>
      <c r="M24" s="52"/>
      <c r="N24" s="68"/>
      <c r="O24" s="52"/>
      <c r="P24" s="68"/>
      <c r="Q24" s="52"/>
      <c r="R24" s="33"/>
      <c r="S24" s="48">
        <v>2</v>
      </c>
      <c r="T24" s="52"/>
      <c r="U24" s="33"/>
      <c r="V24" s="48"/>
      <c r="W24" s="33"/>
      <c r="X24" s="64"/>
      <c r="Y24" s="33"/>
      <c r="Z24" s="64"/>
      <c r="AA24" s="52"/>
      <c r="AB24" s="68"/>
      <c r="AC24" s="52"/>
      <c r="AD24" s="68"/>
      <c r="AE24" s="52">
        <v>2</v>
      </c>
      <c r="AF24" s="68"/>
      <c r="AG24" s="33"/>
      <c r="AH24" s="64"/>
      <c r="AI24" s="33"/>
      <c r="AJ24" s="50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4"/>
      <c r="BB24" s="4"/>
      <c r="BC24" s="4"/>
      <c r="BD24" s="4"/>
      <c r="BE24" s="4"/>
    </row>
    <row r="25" spans="1:57" ht="30" customHeight="1" thickBot="1" x14ac:dyDescent="0.3">
      <c r="A25" s="55"/>
      <c r="B25" s="9"/>
      <c r="C25" s="46">
        <f t="shared" si="0"/>
        <v>0</v>
      </c>
      <c r="D25" s="76"/>
      <c r="E25" s="11"/>
      <c r="F25" s="11"/>
      <c r="G25" s="28"/>
      <c r="H25" s="65"/>
      <c r="I25" s="53"/>
      <c r="J25" s="70"/>
      <c r="K25" s="53"/>
      <c r="L25" s="70"/>
      <c r="M25" s="53"/>
      <c r="N25" s="70"/>
      <c r="O25" s="53"/>
      <c r="P25" s="70"/>
      <c r="Q25" s="53"/>
      <c r="R25" s="37"/>
      <c r="S25" s="49"/>
      <c r="T25" s="53"/>
      <c r="U25" s="37"/>
      <c r="V25" s="49"/>
      <c r="W25" s="37"/>
      <c r="X25" s="65"/>
      <c r="Y25" s="37"/>
      <c r="Z25" s="65"/>
      <c r="AA25" s="53"/>
      <c r="AB25" s="70"/>
      <c r="AC25" s="53"/>
      <c r="AD25" s="70"/>
      <c r="AE25" s="53"/>
      <c r="AF25" s="70"/>
      <c r="AG25" s="37"/>
      <c r="AH25" s="65"/>
      <c r="AI25" s="37"/>
      <c r="AJ25" s="51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4"/>
      <c r="BB25" s="4"/>
      <c r="BC25" s="4"/>
      <c r="BD25" s="4"/>
      <c r="BE25" s="4"/>
    </row>
    <row r="26" spans="1:57" ht="30" customHeight="1" x14ac:dyDescent="0.25">
      <c r="A26" s="1"/>
      <c r="B26" s="1"/>
      <c r="C26" s="1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4"/>
      <c r="BB26" s="4"/>
      <c r="BC26" s="4"/>
      <c r="BD26" s="4"/>
      <c r="BE26" s="4"/>
    </row>
    <row r="27" spans="1:57" ht="30" customHeight="1" x14ac:dyDescent="0.25">
      <c r="A27" s="1"/>
      <c r="B27" s="1"/>
      <c r="C27" s="1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4"/>
      <c r="BB27" s="4"/>
      <c r="BC27" s="4"/>
      <c r="BD27" s="4"/>
      <c r="BE27" s="4"/>
    </row>
    <row r="28" spans="1:57" ht="30" customHeight="1" x14ac:dyDescent="0.25">
      <c r="A28" s="1"/>
      <c r="B28" s="1"/>
      <c r="C28" s="1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4"/>
      <c r="BB28" s="4"/>
      <c r="BC28" s="4"/>
      <c r="BD28" s="4"/>
      <c r="BE28" s="4"/>
    </row>
    <row r="29" spans="1:57" ht="30" customHeight="1" x14ac:dyDescent="0.25">
      <c r="A29" s="1"/>
      <c r="B29" s="1"/>
      <c r="C29" s="1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4"/>
      <c r="BB29" s="4"/>
      <c r="BC29" s="4"/>
      <c r="BD29" s="4"/>
      <c r="BE29" s="4"/>
    </row>
    <row r="30" spans="1:57" ht="30" customHeight="1" x14ac:dyDescent="0.25"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4"/>
      <c r="BB30" s="4"/>
      <c r="BC30" s="4"/>
      <c r="BD30" s="4"/>
      <c r="BE30" s="4"/>
    </row>
    <row r="31" spans="1:57" ht="30" customHeight="1" x14ac:dyDescent="0.25"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4"/>
      <c r="BB31" s="4"/>
      <c r="BC31" s="4"/>
      <c r="BD31" s="4"/>
      <c r="BE31" s="4"/>
    </row>
    <row r="100" spans="1:52" x14ac:dyDescent="0.25">
      <c r="A100" s="73" t="s">
        <v>40</v>
      </c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73"/>
      <c r="AW100" s="73"/>
      <c r="AX100" s="73"/>
      <c r="AY100" s="73"/>
      <c r="AZ100" s="73"/>
    </row>
    <row r="101" spans="1:52" x14ac:dyDescent="0.25">
      <c r="A101" t="s">
        <v>46</v>
      </c>
      <c r="B101" t="s">
        <v>41</v>
      </c>
      <c r="C101" s="73" t="s">
        <v>42</v>
      </c>
      <c r="D101" s="73"/>
      <c r="E101" s="73"/>
      <c r="F101" s="73"/>
      <c r="G101" s="73"/>
    </row>
    <row r="102" spans="1:52" x14ac:dyDescent="0.25">
      <c r="A102">
        <f>C102/(1+((((B102+C102)/2)/C102)/0.9))</f>
        <v>3.8571428571428572</v>
      </c>
      <c r="B102" s="47">
        <f>MIN(D3:D23)</f>
        <v>0</v>
      </c>
      <c r="C102" s="74">
        <f>MAX(D3:D23)</f>
        <v>6</v>
      </c>
      <c r="D102" s="74"/>
      <c r="E102" s="74"/>
      <c r="F102" s="74"/>
      <c r="G102" s="74"/>
    </row>
    <row r="104" spans="1:52" x14ac:dyDescent="0.25">
      <c r="A104">
        <f>C104/(1+((((B104+C104)/2)/C104)/0.8))</f>
        <v>3.0769230769230771</v>
      </c>
      <c r="B104" s="47">
        <f>MIN(C3:C23)</f>
        <v>0</v>
      </c>
      <c r="C104" s="74">
        <f>MAX(C3:C23)</f>
        <v>5</v>
      </c>
      <c r="D104" s="73"/>
      <c r="E104" s="73"/>
      <c r="F104" s="73"/>
      <c r="G104" s="73"/>
    </row>
  </sheetData>
  <mergeCells count="166">
    <mergeCell ref="D24:D25"/>
    <mergeCell ref="AH24:AH25"/>
    <mergeCell ref="AF24:AF25"/>
    <mergeCell ref="AD24:AD25"/>
    <mergeCell ref="AB24:AB25"/>
    <mergeCell ref="Z24:Z25"/>
    <mergeCell ref="X24:X25"/>
    <mergeCell ref="P24:P25"/>
    <mergeCell ref="N24:N25"/>
    <mergeCell ref="L24:L25"/>
    <mergeCell ref="J24:J25"/>
    <mergeCell ref="H24:H25"/>
    <mergeCell ref="AJ17:AJ18"/>
    <mergeCell ref="A100:AZ100"/>
    <mergeCell ref="C102:G102"/>
    <mergeCell ref="C101:G101"/>
    <mergeCell ref="C104:G104"/>
    <mergeCell ref="X7:X8"/>
    <mergeCell ref="X5:X6"/>
    <mergeCell ref="X3:X4"/>
    <mergeCell ref="AH21:AH23"/>
    <mergeCell ref="AF21:AF23"/>
    <mergeCell ref="AD21:AD23"/>
    <mergeCell ref="Z21:Z23"/>
    <mergeCell ref="AB21:AB23"/>
    <mergeCell ref="D21:D23"/>
    <mergeCell ref="X21:X23"/>
    <mergeCell ref="X19:X20"/>
    <mergeCell ref="X17:X18"/>
    <mergeCell ref="P21:P23"/>
    <mergeCell ref="N21:N23"/>
    <mergeCell ref="L21:L23"/>
    <mergeCell ref="J21:J23"/>
    <mergeCell ref="AH9:AH10"/>
    <mergeCell ref="AH7:AH8"/>
    <mergeCell ref="A24:A25"/>
    <mergeCell ref="A21:A23"/>
    <mergeCell ref="X15:X16"/>
    <mergeCell ref="X13:X14"/>
    <mergeCell ref="X11:X12"/>
    <mergeCell ref="X9:X10"/>
    <mergeCell ref="P13:P14"/>
    <mergeCell ref="N13:N14"/>
    <mergeCell ref="N11:N12"/>
    <mergeCell ref="AH19:AH20"/>
    <mergeCell ref="AH17:AH18"/>
    <mergeCell ref="AH15:AH16"/>
    <mergeCell ref="AH13:AH14"/>
    <mergeCell ref="AH11:AH12"/>
    <mergeCell ref="P11:P12"/>
    <mergeCell ref="P9:P10"/>
    <mergeCell ref="N9:N10"/>
    <mergeCell ref="N19:N20"/>
    <mergeCell ref="P19:P20"/>
    <mergeCell ref="P17:P18"/>
    <mergeCell ref="N17:N18"/>
    <mergeCell ref="N15:N16"/>
    <mergeCell ref="H21:H23"/>
    <mergeCell ref="AF19:AF20"/>
    <mergeCell ref="N3:N4"/>
    <mergeCell ref="L2:M2"/>
    <mergeCell ref="N2:O2"/>
    <mergeCell ref="P2:Q2"/>
    <mergeCell ref="P3:P4"/>
    <mergeCell ref="N5:N6"/>
    <mergeCell ref="P5:P6"/>
    <mergeCell ref="P7:P8"/>
    <mergeCell ref="AD17:AD18"/>
    <mergeCell ref="AF3:AF4"/>
    <mergeCell ref="AF5:AF6"/>
    <mergeCell ref="AF7:AF8"/>
    <mergeCell ref="AF9:AF10"/>
    <mergeCell ref="AF11:AF12"/>
    <mergeCell ref="AF13:AF14"/>
    <mergeCell ref="AF15:AF16"/>
    <mergeCell ref="AF17:AF18"/>
    <mergeCell ref="AB17:AB18"/>
    <mergeCell ref="AB19:AB20"/>
    <mergeCell ref="AD19:AD20"/>
    <mergeCell ref="AD3:AD4"/>
    <mergeCell ref="AD5:AD6"/>
    <mergeCell ref="N7:N8"/>
    <mergeCell ref="AD9:AD10"/>
    <mergeCell ref="AD11:AD12"/>
    <mergeCell ref="AD13:AD14"/>
    <mergeCell ref="AD15:AD16"/>
    <mergeCell ref="AB5:AB6"/>
    <mergeCell ref="AB7:AB8"/>
    <mergeCell ref="AB9:AB10"/>
    <mergeCell ref="AB11:AB12"/>
    <mergeCell ref="AB13:AB14"/>
    <mergeCell ref="AB15:AB16"/>
    <mergeCell ref="Z17:Z18"/>
    <mergeCell ref="Z19:Z20"/>
    <mergeCell ref="J19:J20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P15:P16"/>
    <mergeCell ref="H17:H18"/>
    <mergeCell ref="H19:H20"/>
    <mergeCell ref="J3:J4"/>
    <mergeCell ref="J5:J6"/>
    <mergeCell ref="J7:J8"/>
    <mergeCell ref="J9:J10"/>
    <mergeCell ref="J11:J12"/>
    <mergeCell ref="J13:J14"/>
    <mergeCell ref="J15:J16"/>
    <mergeCell ref="J17:J18"/>
    <mergeCell ref="AH1:AI1"/>
    <mergeCell ref="AH2:AI2"/>
    <mergeCell ref="H3:H4"/>
    <mergeCell ref="H5:H6"/>
    <mergeCell ref="H7:H8"/>
    <mergeCell ref="Z3:Z4"/>
    <mergeCell ref="Z5:Z6"/>
    <mergeCell ref="Z7:Z8"/>
    <mergeCell ref="AB3:AB4"/>
    <mergeCell ref="Z1:AG1"/>
    <mergeCell ref="V1:W1"/>
    <mergeCell ref="S1:U1"/>
    <mergeCell ref="X1:Y1"/>
    <mergeCell ref="AF2:AG2"/>
    <mergeCell ref="AD2:AE2"/>
    <mergeCell ref="Z2:AA2"/>
    <mergeCell ref="AD7:AD8"/>
    <mergeCell ref="AH5:AH6"/>
    <mergeCell ref="AH3:AH4"/>
    <mergeCell ref="E1:F1"/>
    <mergeCell ref="J2:K2"/>
    <mergeCell ref="H1:R1"/>
    <mergeCell ref="H2:I2"/>
    <mergeCell ref="H9:H10"/>
    <mergeCell ref="H11:H12"/>
    <mergeCell ref="H13:H14"/>
    <mergeCell ref="H15:H16"/>
    <mergeCell ref="AB2:AC2"/>
    <mergeCell ref="Z9:Z10"/>
    <mergeCell ref="Z11:Z12"/>
    <mergeCell ref="Z13:Z14"/>
    <mergeCell ref="Z15:Z16"/>
    <mergeCell ref="A19:A20"/>
    <mergeCell ref="C1:D1"/>
    <mergeCell ref="D3:D4"/>
    <mergeCell ref="D5:D6"/>
    <mergeCell ref="D7:D8"/>
    <mergeCell ref="D9:D10"/>
    <mergeCell ref="D11:D12"/>
    <mergeCell ref="D13:D14"/>
    <mergeCell ref="D15:D16"/>
    <mergeCell ref="D17:D18"/>
    <mergeCell ref="A7:A8"/>
    <mergeCell ref="A9:A10"/>
    <mergeCell ref="A11:A12"/>
    <mergeCell ref="A13:A14"/>
    <mergeCell ref="A15:A16"/>
    <mergeCell ref="A17:A18"/>
    <mergeCell ref="A3:A4"/>
    <mergeCell ref="A5:A6"/>
    <mergeCell ref="D19:D20"/>
  </mergeCells>
  <conditionalFormatting sqref="D3:D24">
    <cfRule type="colorScale" priority="2">
      <colorScale>
        <cfvo type="num" val="$B$102"/>
        <cfvo type="num" val="$A$102"/>
        <cfvo type="num" val="$C$102"/>
        <color rgb="FF00FF00"/>
        <color rgb="FFFFFF00"/>
        <color rgb="FFFF0000"/>
      </colorScale>
    </cfRule>
  </conditionalFormatting>
  <conditionalFormatting sqref="C3:C25">
    <cfRule type="colorScale" priority="1">
      <colorScale>
        <cfvo type="num" val="$B$104"/>
        <cfvo type="num" val="$A$104"/>
        <cfvo type="num" val="$C$104"/>
        <color rgb="FF00FF00"/>
        <color rgb="FFFFFF00"/>
        <color rgb="FFFF0000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Tomas_Vavrinec</dc:creator>
  <cp:lastModifiedBy>Tomas_Vavrinec</cp:lastModifiedBy>
  <dcterms:created xsi:type="dcterms:W3CDTF">2019-12-25T20:30:06Z</dcterms:created>
  <dcterms:modified xsi:type="dcterms:W3CDTF">2019-12-25T23:01:39Z</dcterms:modified>
</cp:coreProperties>
</file>