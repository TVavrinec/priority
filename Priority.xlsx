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_Vavrinec\Documents\GitHub\priority\"/>
    </mc:Choice>
  </mc:AlternateContent>
  <xr:revisionPtr revIDLastSave="0" documentId="13_ncr:1_{8A53997A-3A31-4824-826E-90A30836771B}" xr6:coauthVersionLast="45" xr6:coauthVersionMax="45" xr10:uidLastSave="{00000000-0000-0000-0000-000000000000}"/>
  <bookViews>
    <workbookView xWindow="-120" yWindow="-120" windowWidth="29040" windowHeight="15990" xr2:uid="{D7D36B7A-9CEA-4288-8C8E-B13907822A48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8" i="1" l="1"/>
  <c r="C26" i="1"/>
  <c r="C27" i="1"/>
  <c r="D26" i="1"/>
  <c r="C24" i="1" l="1"/>
  <c r="C25" i="1"/>
  <c r="C19" i="1"/>
  <c r="D24" i="1"/>
  <c r="D21" i="1" l="1"/>
  <c r="D5" i="1"/>
  <c r="D7" i="1"/>
  <c r="D9" i="1"/>
  <c r="D11" i="1"/>
  <c r="D13" i="1"/>
  <c r="D15" i="1"/>
  <c r="D17" i="1"/>
  <c r="D19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0" i="1"/>
  <c r="C21" i="1"/>
  <c r="C22" i="1"/>
  <c r="C23" i="1"/>
  <c r="C3" i="1"/>
  <c r="C102" i="1" l="1"/>
  <c r="B102" i="1"/>
  <c r="C104" i="1"/>
  <c r="B104" i="1"/>
  <c r="A102" i="1" l="1"/>
  <c r="A104" i="1"/>
</calcChain>
</file>

<file path=xl/sharedStrings.xml><?xml version="1.0" encoding="utf-8"?>
<sst xmlns="http://schemas.openxmlformats.org/spreadsheetml/2006/main" count="56" uniqueCount="55">
  <si>
    <t>úkol</t>
  </si>
  <si>
    <t>obtížnost (časová)</t>
  </si>
  <si>
    <t>slib</t>
  </si>
  <si>
    <t>výroba</t>
  </si>
  <si>
    <t>škola</t>
  </si>
  <si>
    <t>SOČ</t>
  </si>
  <si>
    <t>RP</t>
  </si>
  <si>
    <t>RPS</t>
  </si>
  <si>
    <t>RS</t>
  </si>
  <si>
    <t>3D model</t>
  </si>
  <si>
    <t>JLCPCB</t>
  </si>
  <si>
    <t>ostatní</t>
  </si>
  <si>
    <t>skupuině</t>
  </si>
  <si>
    <t>mezi řečí</t>
  </si>
  <si>
    <t>Praha</t>
  </si>
  <si>
    <t>pololetí</t>
  </si>
  <si>
    <t>robotárna</t>
  </si>
  <si>
    <t>vývoj FirstBota</t>
  </si>
  <si>
    <t>vývoj SchoolBota</t>
  </si>
  <si>
    <t>vývoj BlackBoxu</t>
  </si>
  <si>
    <t>opravy desek děckám</t>
  </si>
  <si>
    <t>Martin. Konzultace</t>
  </si>
  <si>
    <t>analogové encodery</t>
  </si>
  <si>
    <t>Smolda</t>
  </si>
  <si>
    <t>vyměna BIOSu</t>
  </si>
  <si>
    <t>deska</t>
  </si>
  <si>
    <t>doladit mechaniku</t>
  </si>
  <si>
    <t>otestovat mecha</t>
  </si>
  <si>
    <t>nahradit Q6 na RB3202 (opravit dráhu START_GATE)</t>
  </si>
  <si>
    <t>doladit čtení</t>
  </si>
  <si>
    <t>tolerance</t>
  </si>
  <si>
    <t>Toy Cleanup</t>
  </si>
  <si>
    <t>Jirka</t>
  </si>
  <si>
    <t>Burda</t>
  </si>
  <si>
    <t>duležité</t>
  </si>
  <si>
    <t>Youtube tutorialy</t>
  </si>
  <si>
    <t xml:space="preserve">Eagle </t>
  </si>
  <si>
    <t>Solid ozubení</t>
  </si>
  <si>
    <t>fusion</t>
  </si>
  <si>
    <t>Ja</t>
  </si>
  <si>
    <t>výpočty zviraznování</t>
  </si>
  <si>
    <t>minymální prioryta</t>
  </si>
  <si>
    <t>maximální prioryta</t>
  </si>
  <si>
    <t>priorita</t>
  </si>
  <si>
    <t>deadline</t>
  </si>
  <si>
    <t>kroužky</t>
  </si>
  <si>
    <t>"střed"</t>
  </si>
  <si>
    <t>LX-15d</t>
  </si>
  <si>
    <t>vyměna tranzistorů</t>
  </si>
  <si>
    <t>deska na krokáče</t>
  </si>
  <si>
    <t xml:space="preserve"> </t>
  </si>
  <si>
    <t>Ruka</t>
  </si>
  <si>
    <t>poznamka</t>
  </si>
  <si>
    <t>opravit postprocesor, nastavení CAMu, Honzuv postprocesor, opravit tvrzení o neexistenci solidáckých proměných</t>
  </si>
  <si>
    <t>určit styl pohonu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</si>
</sst>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3" fontId="0" fillId="0" borderId="0" xfId="0" applyNumberForma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180" wrapText="1"/>
    </xf>
    <xf numFmtId="0" fontId="0" fillId="0" borderId="0" xfId="0" applyBorder="1" applyAlignment="1">
      <alignment horizontal="center" vertical="center" textRotation="180" wrapText="1"/>
    </xf>
    <xf numFmtId="0" fontId="0" fillId="0" borderId="8" xfId="0" applyBorder="1" applyAlignment="1">
      <alignment horizontal="center" vertical="center" textRotation="180" wrapText="1"/>
    </xf>
    <xf numFmtId="0" fontId="0" fillId="0" borderId="7" xfId="0" applyBorder="1" applyAlignment="1">
      <alignment horizontal="center" vertical="center" textRotation="180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7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4" fontId="0" fillId="0" borderId="6" xfId="0" applyNumberForma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0000"/>
      <color rgb="FFFFFF00"/>
      <color rgb="FF00FF00"/>
      <color rgb="FF00FFFF"/>
      <color rgb="FFFA0000"/>
      <color rgb="FF32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B525-A7D0-4EB5-A469-CD7E4DF90C72}">
  <dimension ref="A1:BD104"/>
  <sheetViews>
    <sheetView tabSelected="1" topLeftCell="A4" zoomScale="70" zoomScaleNormal="70" workbookViewId="0">
      <selection activeCell="B30" sqref="B30"/>
    </sheetView>
  </sheetViews>
  <sheetFormatPr defaultRowHeight="15" x14ac:dyDescent="0.25"/>
  <cols>
    <col min="1" max="1" width="30.7109375" customWidth="1"/>
    <col min="2" max="2" width="28.5703125" customWidth="1"/>
    <col min="3" max="4" width="7.7109375" customWidth="1"/>
    <col min="5" max="5" width="10.7109375" hidden="1" customWidth="1"/>
    <col min="6" max="6" width="18.7109375" hidden="1" customWidth="1"/>
    <col min="7" max="34" width="5.7109375" customWidth="1"/>
    <col min="36" max="36" width="0" hidden="1" customWidth="1"/>
    <col min="37" max="40" width="9.140625" hidden="1" customWidth="1"/>
    <col min="41" max="41" width="147" customWidth="1"/>
  </cols>
  <sheetData>
    <row r="1" spans="1:56" ht="24.95" customHeight="1" thickBot="1" x14ac:dyDescent="0.45">
      <c r="A1" s="2" t="s">
        <v>0</v>
      </c>
      <c r="B1" s="2"/>
      <c r="C1" s="66" t="s">
        <v>43</v>
      </c>
      <c r="D1" s="70"/>
      <c r="E1" s="70" t="s">
        <v>1</v>
      </c>
      <c r="F1" s="70"/>
      <c r="G1" s="66" t="s">
        <v>2</v>
      </c>
      <c r="H1" s="70"/>
      <c r="I1" s="70"/>
      <c r="J1" s="70"/>
      <c r="K1" s="70"/>
      <c r="L1" s="70"/>
      <c r="M1" s="70"/>
      <c r="N1" s="70"/>
      <c r="O1" s="70"/>
      <c r="P1" s="70"/>
      <c r="Q1" s="67"/>
      <c r="R1" s="66" t="s">
        <v>44</v>
      </c>
      <c r="S1" s="70"/>
      <c r="T1" s="67"/>
      <c r="U1" s="66" t="s">
        <v>3</v>
      </c>
      <c r="V1" s="67"/>
      <c r="W1" s="66" t="s">
        <v>4</v>
      </c>
      <c r="X1" s="67"/>
      <c r="Y1" s="66" t="s">
        <v>45</v>
      </c>
      <c r="Z1" s="70"/>
      <c r="AA1" s="70"/>
      <c r="AB1" s="70"/>
      <c r="AC1" s="70"/>
      <c r="AD1" s="70"/>
      <c r="AE1" s="70"/>
      <c r="AF1" s="67"/>
      <c r="AG1" s="66" t="s">
        <v>5</v>
      </c>
      <c r="AH1" s="67"/>
      <c r="AI1" s="34" t="s">
        <v>39</v>
      </c>
      <c r="AO1" t="s">
        <v>52</v>
      </c>
    </row>
    <row r="2" spans="1:56" s="1" customFormat="1" ht="57" customHeight="1" thickBot="1" x14ac:dyDescent="0.3">
      <c r="C2" s="23"/>
      <c r="D2" s="22"/>
      <c r="E2" s="22"/>
      <c r="F2" s="22"/>
      <c r="G2" s="68" t="s">
        <v>12</v>
      </c>
      <c r="H2" s="65"/>
      <c r="I2" s="65" t="s">
        <v>34</v>
      </c>
      <c r="J2" s="65"/>
      <c r="K2" s="65" t="s">
        <v>13</v>
      </c>
      <c r="L2" s="65"/>
      <c r="M2" s="65" t="s">
        <v>32</v>
      </c>
      <c r="N2" s="65"/>
      <c r="O2" s="65" t="s">
        <v>33</v>
      </c>
      <c r="P2" s="65"/>
      <c r="Q2" s="16"/>
      <c r="R2" s="17" t="s">
        <v>14</v>
      </c>
      <c r="S2" s="18" t="s">
        <v>15</v>
      </c>
      <c r="T2" s="19" t="s">
        <v>16</v>
      </c>
      <c r="U2" s="20" t="s">
        <v>10</v>
      </c>
      <c r="V2" s="19" t="s">
        <v>11</v>
      </c>
      <c r="W2" s="21"/>
      <c r="X2" s="16"/>
      <c r="Y2" s="68" t="s">
        <v>6</v>
      </c>
      <c r="Z2" s="65"/>
      <c r="AA2" s="65" t="s">
        <v>7</v>
      </c>
      <c r="AB2" s="65"/>
      <c r="AC2" s="65" t="s">
        <v>8</v>
      </c>
      <c r="AD2" s="65"/>
      <c r="AE2" s="65" t="s">
        <v>9</v>
      </c>
      <c r="AF2" s="69"/>
      <c r="AG2" s="68"/>
      <c r="AH2" s="69"/>
      <c r="AI2" s="35"/>
    </row>
    <row r="3" spans="1:56" ht="30" customHeight="1" thickBot="1" x14ac:dyDescent="0.3">
      <c r="A3" s="62" t="s">
        <v>17</v>
      </c>
      <c r="B3" s="5" t="s">
        <v>25</v>
      </c>
      <c r="C3" s="73">
        <f>H3+J3+(L3/10)+N3+P3+Q3+R3+S3+T3+U3+V3+X3+Z3+AB3+AD3+AF3+AH3+AI3</f>
        <v>1</v>
      </c>
      <c r="D3" s="74">
        <f>SUM(G3:AI4)-K3-L3-L4+(K3/10)+(L3/10)+(L4/10)</f>
        <v>1</v>
      </c>
      <c r="E3" s="6"/>
      <c r="F3" s="7"/>
      <c r="G3" s="53"/>
      <c r="H3" s="24"/>
      <c r="I3" s="52"/>
      <c r="J3" s="24"/>
      <c r="K3" s="52"/>
      <c r="L3" s="24"/>
      <c r="M3" s="52"/>
      <c r="N3" s="24"/>
      <c r="O3" s="52"/>
      <c r="P3" s="24"/>
      <c r="Q3" s="28"/>
      <c r="R3" s="27"/>
      <c r="S3" s="24"/>
      <c r="T3" s="28"/>
      <c r="U3" s="27"/>
      <c r="V3" s="28"/>
      <c r="W3" s="53"/>
      <c r="X3" s="28"/>
      <c r="Y3" s="53"/>
      <c r="Z3" s="24"/>
      <c r="AA3" s="52"/>
      <c r="AB3" s="24"/>
      <c r="AC3" s="52"/>
      <c r="AD3" s="24"/>
      <c r="AE3" s="52"/>
      <c r="AF3" s="28"/>
      <c r="AG3" s="53"/>
      <c r="AH3" s="28"/>
      <c r="AI3" s="38">
        <v>1</v>
      </c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3"/>
      <c r="BA3" s="3"/>
      <c r="BB3" s="3"/>
      <c r="BC3" s="3"/>
      <c r="BD3" s="3"/>
    </row>
    <row r="4" spans="1:56" ht="30" customHeight="1" thickBot="1" x14ac:dyDescent="0.3">
      <c r="A4" s="64"/>
      <c r="B4" s="11"/>
      <c r="C4" s="73">
        <f t="shared" ref="C4:C27" si="0">H4+J4+(L4/10)+N4+P4+Q4+R4+S4+T4+U4+V4+X4+Z4+AB4+AD4+AF4+AH4+AI4</f>
        <v>0</v>
      </c>
      <c r="D4" s="75"/>
      <c r="E4" s="12"/>
      <c r="F4" s="13"/>
      <c r="G4" s="60"/>
      <c r="H4" s="25"/>
      <c r="I4" s="61"/>
      <c r="J4" s="25"/>
      <c r="K4" s="61"/>
      <c r="L4" s="25"/>
      <c r="M4" s="61"/>
      <c r="N4" s="25"/>
      <c r="O4" s="61"/>
      <c r="P4" s="25"/>
      <c r="Q4" s="30"/>
      <c r="R4" s="31"/>
      <c r="S4" s="25"/>
      <c r="T4" s="30"/>
      <c r="U4" s="31"/>
      <c r="V4" s="30"/>
      <c r="W4" s="54"/>
      <c r="X4" s="30"/>
      <c r="Y4" s="60"/>
      <c r="Z4" s="25"/>
      <c r="AA4" s="61"/>
      <c r="AB4" s="25"/>
      <c r="AC4" s="61"/>
      <c r="AD4" s="25"/>
      <c r="AE4" s="61"/>
      <c r="AF4" s="30"/>
      <c r="AG4" s="60"/>
      <c r="AH4" s="30"/>
      <c r="AI4" s="37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3"/>
      <c r="BA4" s="3"/>
      <c r="BB4" s="3"/>
      <c r="BC4" s="3"/>
      <c r="BD4" s="3"/>
    </row>
    <row r="5" spans="1:56" ht="30" customHeight="1" thickBot="1" x14ac:dyDescent="0.3">
      <c r="A5" s="62" t="s">
        <v>18</v>
      </c>
      <c r="B5" s="5" t="s">
        <v>26</v>
      </c>
      <c r="C5" s="73">
        <f t="shared" si="0"/>
        <v>5</v>
      </c>
      <c r="D5" s="74">
        <f t="shared" ref="D5" si="1">SUM(G5:AI6)-K5-L5-L6+(K5/10)+(L5/10)+(L6/10)</f>
        <v>5</v>
      </c>
      <c r="E5" s="6"/>
      <c r="F5" s="7"/>
      <c r="G5" s="53"/>
      <c r="H5" s="24"/>
      <c r="I5" s="52"/>
      <c r="J5" s="24"/>
      <c r="K5" s="52"/>
      <c r="L5" s="24"/>
      <c r="M5" s="52"/>
      <c r="N5" s="24"/>
      <c r="O5" s="52"/>
      <c r="P5" s="24">
        <v>1</v>
      </c>
      <c r="Q5" s="28"/>
      <c r="R5" s="27"/>
      <c r="S5" s="24"/>
      <c r="T5" s="28"/>
      <c r="U5" s="27"/>
      <c r="V5" s="28"/>
      <c r="W5" s="53"/>
      <c r="X5" s="28"/>
      <c r="Y5" s="53"/>
      <c r="Z5" s="24"/>
      <c r="AA5" s="52"/>
      <c r="AB5" s="24">
        <v>1</v>
      </c>
      <c r="AC5" s="52"/>
      <c r="AD5" s="24">
        <v>1</v>
      </c>
      <c r="AE5" s="52"/>
      <c r="AF5" s="28"/>
      <c r="AG5" s="53"/>
      <c r="AH5" s="28">
        <v>1</v>
      </c>
      <c r="AI5" s="38">
        <v>1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3"/>
      <c r="BA5" s="3"/>
      <c r="BB5" s="3"/>
      <c r="BC5" s="3"/>
      <c r="BD5" s="3"/>
    </row>
    <row r="6" spans="1:56" ht="30" customHeight="1" thickBot="1" x14ac:dyDescent="0.3">
      <c r="A6" s="63"/>
      <c r="B6" s="8"/>
      <c r="C6" s="73">
        <f t="shared" si="0"/>
        <v>0</v>
      </c>
      <c r="D6" s="75"/>
      <c r="E6" s="9"/>
      <c r="F6" s="10"/>
      <c r="G6" s="54"/>
      <c r="H6" s="26"/>
      <c r="I6" s="55"/>
      <c r="J6" s="26"/>
      <c r="K6" s="55"/>
      <c r="L6" s="26"/>
      <c r="M6" s="55"/>
      <c r="N6" s="26"/>
      <c r="O6" s="55"/>
      <c r="P6" s="26"/>
      <c r="Q6" s="32"/>
      <c r="R6" s="33"/>
      <c r="S6" s="26"/>
      <c r="T6" s="32"/>
      <c r="U6" s="33"/>
      <c r="V6" s="32"/>
      <c r="W6" s="54"/>
      <c r="X6" s="32"/>
      <c r="Y6" s="54"/>
      <c r="Z6" s="26"/>
      <c r="AA6" s="55"/>
      <c r="AB6" s="26"/>
      <c r="AC6" s="55"/>
      <c r="AD6" s="26"/>
      <c r="AE6" s="55"/>
      <c r="AF6" s="32"/>
      <c r="AG6" s="54"/>
      <c r="AH6" s="32"/>
      <c r="AI6" s="37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3"/>
      <c r="BA6" s="3"/>
      <c r="BB6" s="3"/>
      <c r="BC6" s="3"/>
      <c r="BD6" s="3"/>
    </row>
    <row r="7" spans="1:56" ht="30" customHeight="1" thickBot="1" x14ac:dyDescent="0.3">
      <c r="A7" s="62" t="s">
        <v>19</v>
      </c>
      <c r="B7" s="5" t="s">
        <v>27</v>
      </c>
      <c r="C7" s="73">
        <f t="shared" si="0"/>
        <v>5</v>
      </c>
      <c r="D7" s="74">
        <f t="shared" ref="D7" si="2">SUM(G7:AI8)-K7-L7-L8+(K7/10)+(L7/10)+(L8/10)</f>
        <v>5</v>
      </c>
      <c r="E7" s="6"/>
      <c r="F7" s="7"/>
      <c r="G7" s="53"/>
      <c r="H7" s="24"/>
      <c r="I7" s="52"/>
      <c r="J7" s="24">
        <v>1</v>
      </c>
      <c r="K7" s="52"/>
      <c r="L7" s="24"/>
      <c r="M7" s="52"/>
      <c r="N7" s="24"/>
      <c r="O7" s="52"/>
      <c r="P7" s="24"/>
      <c r="Q7" s="28"/>
      <c r="R7" s="27"/>
      <c r="S7" s="24"/>
      <c r="T7" s="28">
        <v>1</v>
      </c>
      <c r="U7" s="27"/>
      <c r="V7" s="28"/>
      <c r="W7" s="53"/>
      <c r="X7" s="28"/>
      <c r="Y7" s="53"/>
      <c r="Z7" s="24">
        <v>1</v>
      </c>
      <c r="AA7" s="52"/>
      <c r="AB7" s="24"/>
      <c r="AC7" s="52"/>
      <c r="AD7" s="24"/>
      <c r="AE7" s="52"/>
      <c r="AF7" s="28"/>
      <c r="AG7" s="53"/>
      <c r="AH7" s="28">
        <v>1</v>
      </c>
      <c r="AI7" s="38">
        <v>1</v>
      </c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3"/>
      <c r="BA7" s="3"/>
      <c r="BB7" s="3"/>
      <c r="BC7" s="3"/>
      <c r="BD7" s="3"/>
    </row>
    <row r="8" spans="1:56" ht="30" customHeight="1" thickBot="1" x14ac:dyDescent="0.3">
      <c r="A8" s="63"/>
      <c r="B8" s="8"/>
      <c r="C8" s="73">
        <f t="shared" si="0"/>
        <v>0</v>
      </c>
      <c r="D8" s="75"/>
      <c r="E8" s="9"/>
      <c r="F8" s="10"/>
      <c r="G8" s="54"/>
      <c r="H8" s="26"/>
      <c r="I8" s="55"/>
      <c r="J8" s="26"/>
      <c r="K8" s="55"/>
      <c r="L8" s="26"/>
      <c r="M8" s="55"/>
      <c r="N8" s="26"/>
      <c r="O8" s="55"/>
      <c r="P8" s="26"/>
      <c r="Q8" s="32"/>
      <c r="R8" s="33"/>
      <c r="S8" s="26"/>
      <c r="T8" s="32"/>
      <c r="U8" s="33"/>
      <c r="V8" s="32"/>
      <c r="W8" s="54"/>
      <c r="X8" s="32"/>
      <c r="Y8" s="54"/>
      <c r="Z8" s="26"/>
      <c r="AA8" s="55"/>
      <c r="AB8" s="26"/>
      <c r="AC8" s="55"/>
      <c r="AD8" s="26"/>
      <c r="AE8" s="55"/>
      <c r="AF8" s="32"/>
      <c r="AG8" s="54"/>
      <c r="AH8" s="32"/>
      <c r="AI8" s="37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3"/>
      <c r="BA8" s="3"/>
      <c r="BB8" s="3"/>
      <c r="BC8" s="3"/>
      <c r="BD8" s="3"/>
    </row>
    <row r="9" spans="1:56" ht="30" customHeight="1" thickBot="1" x14ac:dyDescent="0.3">
      <c r="A9" s="62" t="s">
        <v>20</v>
      </c>
      <c r="B9" s="14" t="s">
        <v>28</v>
      </c>
      <c r="C9" s="73">
        <f t="shared" si="0"/>
        <v>2</v>
      </c>
      <c r="D9" s="74">
        <f t="shared" ref="D9" si="3">SUM(G9:AI10)-K9-L9-L10+(K9/10)+(L9/10)+(L10/10)</f>
        <v>2</v>
      </c>
      <c r="E9" s="6"/>
      <c r="F9" s="7"/>
      <c r="G9" s="53"/>
      <c r="H9" s="24"/>
      <c r="I9" s="52"/>
      <c r="J9" s="24">
        <v>1</v>
      </c>
      <c r="K9" s="52"/>
      <c r="L9" s="24"/>
      <c r="M9" s="52"/>
      <c r="N9" s="24"/>
      <c r="O9" s="52"/>
      <c r="P9" s="24"/>
      <c r="Q9" s="28"/>
      <c r="R9" s="27"/>
      <c r="S9" s="24"/>
      <c r="T9" s="28"/>
      <c r="U9" s="27"/>
      <c r="V9" s="28"/>
      <c r="W9" s="53"/>
      <c r="X9" s="28"/>
      <c r="Y9" s="53"/>
      <c r="Z9" s="24"/>
      <c r="AA9" s="52"/>
      <c r="AB9" s="24"/>
      <c r="AC9" s="52"/>
      <c r="AD9" s="24">
        <v>1</v>
      </c>
      <c r="AE9" s="52"/>
      <c r="AF9" s="28"/>
      <c r="AG9" s="53"/>
      <c r="AH9" s="28"/>
      <c r="AI9" s="38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3"/>
      <c r="BA9" s="3"/>
      <c r="BB9" s="3"/>
      <c r="BC9" s="3"/>
      <c r="BD9" s="3"/>
    </row>
    <row r="10" spans="1:56" ht="30" customHeight="1" thickBot="1" x14ac:dyDescent="0.3">
      <c r="A10" s="63"/>
      <c r="B10" s="8"/>
      <c r="C10" s="73">
        <f t="shared" si="0"/>
        <v>0</v>
      </c>
      <c r="D10" s="75"/>
      <c r="E10" s="9"/>
      <c r="F10" s="10"/>
      <c r="G10" s="54"/>
      <c r="H10" s="26"/>
      <c r="I10" s="55"/>
      <c r="J10" s="26"/>
      <c r="K10" s="55"/>
      <c r="L10" s="26"/>
      <c r="M10" s="55"/>
      <c r="N10" s="26"/>
      <c r="O10" s="55"/>
      <c r="P10" s="26"/>
      <c r="Q10" s="32"/>
      <c r="R10" s="33"/>
      <c r="S10" s="26"/>
      <c r="T10" s="32"/>
      <c r="U10" s="33"/>
      <c r="V10" s="32"/>
      <c r="W10" s="54"/>
      <c r="X10" s="32"/>
      <c r="Y10" s="54"/>
      <c r="Z10" s="26"/>
      <c r="AA10" s="55"/>
      <c r="AB10" s="26"/>
      <c r="AC10" s="55"/>
      <c r="AD10" s="26"/>
      <c r="AE10" s="55"/>
      <c r="AF10" s="32"/>
      <c r="AG10" s="54"/>
      <c r="AH10" s="32"/>
      <c r="AI10" s="37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3"/>
      <c r="BA10" s="3"/>
      <c r="BB10" s="3"/>
      <c r="BC10" s="3"/>
      <c r="BD10" s="3"/>
    </row>
    <row r="11" spans="1:56" ht="30" customHeight="1" thickBot="1" x14ac:dyDescent="0.3">
      <c r="A11" s="62" t="s">
        <v>21</v>
      </c>
      <c r="B11" s="5"/>
      <c r="C11" s="73">
        <f t="shared" si="0"/>
        <v>0</v>
      </c>
      <c r="D11" s="74">
        <f t="shared" ref="D11" si="4">SUM(G11:AI12)-K11-L11-L12+(K11/10)+(L11/10)+(L12/10)</f>
        <v>0</v>
      </c>
      <c r="E11" s="6"/>
      <c r="F11" s="7"/>
      <c r="G11" s="53"/>
      <c r="H11" s="24"/>
      <c r="I11" s="52"/>
      <c r="J11" s="24"/>
      <c r="K11" s="52"/>
      <c r="L11" s="24"/>
      <c r="M11" s="52"/>
      <c r="N11" s="24"/>
      <c r="O11" s="52"/>
      <c r="P11" s="24"/>
      <c r="Q11" s="28"/>
      <c r="R11" s="27"/>
      <c r="S11" s="24"/>
      <c r="T11" s="28"/>
      <c r="U11" s="27"/>
      <c r="V11" s="28"/>
      <c r="W11" s="53"/>
      <c r="X11" s="28"/>
      <c r="Y11" s="53"/>
      <c r="Z11" s="24"/>
      <c r="AA11" s="52"/>
      <c r="AB11" s="24"/>
      <c r="AC11" s="52"/>
      <c r="AD11" s="24"/>
      <c r="AE11" s="52"/>
      <c r="AF11" s="28"/>
      <c r="AG11" s="53"/>
      <c r="AH11" s="28"/>
      <c r="AI11" s="38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3"/>
      <c r="BA11" s="3"/>
      <c r="BB11" s="3"/>
      <c r="BC11" s="3"/>
      <c r="BD11" s="3"/>
    </row>
    <row r="12" spans="1:56" ht="30" customHeight="1" thickBot="1" x14ac:dyDescent="0.3">
      <c r="A12" s="63"/>
      <c r="B12" s="8"/>
      <c r="C12" s="73">
        <f t="shared" si="0"/>
        <v>0</v>
      </c>
      <c r="D12" s="75"/>
      <c r="E12" s="9"/>
      <c r="F12" s="10"/>
      <c r="G12" s="54"/>
      <c r="H12" s="26"/>
      <c r="I12" s="55"/>
      <c r="J12" s="26"/>
      <c r="K12" s="55"/>
      <c r="L12" s="26"/>
      <c r="M12" s="55"/>
      <c r="N12" s="26"/>
      <c r="O12" s="55"/>
      <c r="P12" s="26"/>
      <c r="Q12" s="32"/>
      <c r="R12" s="33"/>
      <c r="S12" s="26"/>
      <c r="T12" s="32"/>
      <c r="U12" s="33"/>
      <c r="V12" s="32"/>
      <c r="W12" s="54"/>
      <c r="X12" s="32"/>
      <c r="Y12" s="54"/>
      <c r="Z12" s="26"/>
      <c r="AA12" s="55"/>
      <c r="AB12" s="26"/>
      <c r="AC12" s="55"/>
      <c r="AD12" s="26"/>
      <c r="AE12" s="55"/>
      <c r="AF12" s="32"/>
      <c r="AG12" s="54"/>
      <c r="AH12" s="32"/>
      <c r="AI12" s="37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3"/>
      <c r="BA12" s="3"/>
      <c r="BB12" s="3"/>
      <c r="BC12" s="3"/>
      <c r="BD12" s="3"/>
    </row>
    <row r="13" spans="1:56" ht="30" customHeight="1" thickBot="1" x14ac:dyDescent="0.3">
      <c r="A13" s="62" t="s">
        <v>22</v>
      </c>
      <c r="B13" s="5" t="s">
        <v>29</v>
      </c>
      <c r="C13" s="73">
        <f t="shared" si="0"/>
        <v>1</v>
      </c>
      <c r="D13" s="74">
        <f t="shared" ref="D13" si="5">SUM(G13:AI14)-K13-L13-L14+(K13/10)+(L13/10)+(L14/10)</f>
        <v>2.1</v>
      </c>
      <c r="E13" s="6"/>
      <c r="F13" s="7"/>
      <c r="G13" s="53"/>
      <c r="H13" s="24"/>
      <c r="I13" s="52"/>
      <c r="J13" s="24"/>
      <c r="K13" s="52">
        <v>1</v>
      </c>
      <c r="L13" s="24"/>
      <c r="M13" s="52"/>
      <c r="N13" s="24"/>
      <c r="O13" s="52"/>
      <c r="P13" s="24"/>
      <c r="Q13" s="28"/>
      <c r="R13" s="27"/>
      <c r="S13" s="24"/>
      <c r="T13" s="28"/>
      <c r="U13" s="27"/>
      <c r="V13" s="28"/>
      <c r="W13" s="53"/>
      <c r="X13" s="28"/>
      <c r="Y13" s="53"/>
      <c r="Z13" s="24"/>
      <c r="AA13" s="52"/>
      <c r="AB13" s="24"/>
      <c r="AC13" s="52">
        <v>1</v>
      </c>
      <c r="AD13" s="24"/>
      <c r="AE13" s="52"/>
      <c r="AF13" s="28"/>
      <c r="AG13" s="53"/>
      <c r="AH13" s="28"/>
      <c r="AI13" s="38">
        <v>1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3"/>
      <c r="BA13" s="3"/>
      <c r="BB13" s="3"/>
      <c r="BC13" s="3"/>
      <c r="BD13" s="3"/>
    </row>
    <row r="14" spans="1:56" ht="30" customHeight="1" thickBot="1" x14ac:dyDescent="0.3">
      <c r="A14" s="63"/>
      <c r="B14" s="8"/>
      <c r="C14" s="73">
        <f t="shared" si="0"/>
        <v>0</v>
      </c>
      <c r="D14" s="75"/>
      <c r="E14" s="9"/>
      <c r="F14" s="10"/>
      <c r="G14" s="54"/>
      <c r="H14" s="26"/>
      <c r="I14" s="55"/>
      <c r="J14" s="26"/>
      <c r="K14" s="55"/>
      <c r="L14" s="26"/>
      <c r="M14" s="55"/>
      <c r="N14" s="26"/>
      <c r="O14" s="55"/>
      <c r="P14" s="26"/>
      <c r="Q14" s="32"/>
      <c r="R14" s="33"/>
      <c r="S14" s="26"/>
      <c r="T14" s="32"/>
      <c r="U14" s="33"/>
      <c r="V14" s="32"/>
      <c r="W14" s="54"/>
      <c r="X14" s="32"/>
      <c r="Y14" s="54"/>
      <c r="Z14" s="26"/>
      <c r="AA14" s="55"/>
      <c r="AB14" s="26"/>
      <c r="AC14" s="55"/>
      <c r="AD14" s="26"/>
      <c r="AE14" s="55"/>
      <c r="AF14" s="32"/>
      <c r="AG14" s="54"/>
      <c r="AH14" s="32"/>
      <c r="AI14" s="37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3"/>
      <c r="BA14" s="3"/>
      <c r="BB14" s="3"/>
      <c r="BC14" s="3"/>
      <c r="BD14" s="3"/>
    </row>
    <row r="15" spans="1:56" ht="30" customHeight="1" thickBot="1" x14ac:dyDescent="0.3">
      <c r="A15" s="62" t="s">
        <v>23</v>
      </c>
      <c r="B15" s="5" t="s">
        <v>30</v>
      </c>
      <c r="C15" s="73">
        <f t="shared" si="0"/>
        <v>2</v>
      </c>
      <c r="D15" s="74">
        <f t="shared" ref="D15" si="6">SUM(G15:AI16)-K15-L15-L16+(K15/10)+(L15/10)+(L16/10)</f>
        <v>2</v>
      </c>
      <c r="E15" s="6"/>
      <c r="F15" s="7"/>
      <c r="G15" s="53"/>
      <c r="H15" s="24"/>
      <c r="I15" s="52"/>
      <c r="J15" s="24"/>
      <c r="K15" s="52"/>
      <c r="L15" s="24"/>
      <c r="M15" s="52"/>
      <c r="N15" s="24"/>
      <c r="O15" s="52"/>
      <c r="P15" s="24"/>
      <c r="Q15" s="28"/>
      <c r="R15" s="27"/>
      <c r="S15" s="24">
        <v>1</v>
      </c>
      <c r="T15" s="28"/>
      <c r="U15" s="27"/>
      <c r="V15" s="28"/>
      <c r="W15" s="53"/>
      <c r="X15" s="28">
        <v>1</v>
      </c>
      <c r="Y15" s="53"/>
      <c r="Z15" s="24"/>
      <c r="AA15" s="52"/>
      <c r="AB15" s="24"/>
      <c r="AC15" s="52"/>
      <c r="AD15" s="24"/>
      <c r="AE15" s="52"/>
      <c r="AF15" s="28"/>
      <c r="AG15" s="53"/>
      <c r="AH15" s="28"/>
      <c r="AI15" s="38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3"/>
      <c r="BA15" s="3"/>
      <c r="BB15" s="3"/>
      <c r="BC15" s="3"/>
      <c r="BD15" s="3"/>
    </row>
    <row r="16" spans="1:56" ht="30" customHeight="1" thickBot="1" x14ac:dyDescent="0.3">
      <c r="A16" s="63"/>
      <c r="B16" s="8"/>
      <c r="C16" s="73">
        <f t="shared" si="0"/>
        <v>0</v>
      </c>
      <c r="D16" s="75"/>
      <c r="E16" s="9"/>
      <c r="F16" s="10"/>
      <c r="G16" s="54"/>
      <c r="H16" s="26"/>
      <c r="I16" s="55"/>
      <c r="J16" s="26"/>
      <c r="K16" s="55"/>
      <c r="L16" s="26"/>
      <c r="M16" s="55"/>
      <c r="N16" s="26"/>
      <c r="O16" s="55"/>
      <c r="P16" s="26"/>
      <c r="Q16" s="32"/>
      <c r="R16" s="33"/>
      <c r="S16" s="26"/>
      <c r="T16" s="32"/>
      <c r="U16" s="33"/>
      <c r="V16" s="32"/>
      <c r="W16" s="54"/>
      <c r="X16" s="32"/>
      <c r="Y16" s="54"/>
      <c r="Z16" s="26"/>
      <c r="AA16" s="55"/>
      <c r="AB16" s="26"/>
      <c r="AC16" s="55"/>
      <c r="AD16" s="26"/>
      <c r="AE16" s="55"/>
      <c r="AF16" s="32"/>
      <c r="AG16" s="54"/>
      <c r="AH16" s="32"/>
      <c r="AI16" s="37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3"/>
      <c r="BA16" s="3"/>
      <c r="BB16" s="3"/>
      <c r="BC16" s="3"/>
      <c r="BD16" s="3"/>
    </row>
    <row r="17" spans="1:56" ht="30" customHeight="1" thickBot="1" x14ac:dyDescent="0.3">
      <c r="A17" s="62" t="s">
        <v>24</v>
      </c>
      <c r="B17" s="5"/>
      <c r="C17" s="73">
        <f t="shared" si="0"/>
        <v>2</v>
      </c>
      <c r="D17" s="74">
        <f t="shared" ref="D17" si="7">SUM(G17:AI18)-K17-L17-L18+(K17/10)+(L17/10)+(L18/10)</f>
        <v>2</v>
      </c>
      <c r="E17" s="6"/>
      <c r="F17" s="7"/>
      <c r="G17" s="53"/>
      <c r="H17" s="24"/>
      <c r="I17" s="52"/>
      <c r="J17" s="24"/>
      <c r="K17" s="52"/>
      <c r="L17" s="24"/>
      <c r="M17" s="52"/>
      <c r="N17" s="24"/>
      <c r="O17" s="52"/>
      <c r="P17" s="24"/>
      <c r="Q17" s="28"/>
      <c r="R17" s="27"/>
      <c r="S17" s="24"/>
      <c r="T17" s="28"/>
      <c r="U17" s="27"/>
      <c r="V17" s="28"/>
      <c r="W17" s="53"/>
      <c r="X17" s="28"/>
      <c r="Y17" s="53"/>
      <c r="Z17" s="24"/>
      <c r="AA17" s="52"/>
      <c r="AB17" s="24"/>
      <c r="AC17" s="52"/>
      <c r="AD17" s="24"/>
      <c r="AE17" s="52"/>
      <c r="AF17" s="28"/>
      <c r="AG17" s="53"/>
      <c r="AH17" s="28"/>
      <c r="AI17" s="56">
        <v>2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3"/>
      <c r="BA17" s="3"/>
      <c r="BB17" s="3"/>
      <c r="BC17" s="3"/>
      <c r="BD17" s="3"/>
    </row>
    <row r="18" spans="1:56" ht="30" customHeight="1" thickBot="1" x14ac:dyDescent="0.3">
      <c r="A18" s="63"/>
      <c r="B18" s="8"/>
      <c r="C18" s="73">
        <f t="shared" si="0"/>
        <v>0</v>
      </c>
      <c r="D18" s="75"/>
      <c r="E18" s="9"/>
      <c r="F18" s="10"/>
      <c r="G18" s="54"/>
      <c r="H18" s="26"/>
      <c r="I18" s="55"/>
      <c r="J18" s="26"/>
      <c r="K18" s="55"/>
      <c r="L18" s="26"/>
      <c r="M18" s="55"/>
      <c r="N18" s="26"/>
      <c r="O18" s="55"/>
      <c r="P18" s="26"/>
      <c r="Q18" s="32"/>
      <c r="R18" s="33"/>
      <c r="S18" s="26"/>
      <c r="T18" s="32"/>
      <c r="U18" s="33"/>
      <c r="V18" s="32"/>
      <c r="W18" s="54"/>
      <c r="X18" s="32"/>
      <c r="Y18" s="54"/>
      <c r="Z18" s="26"/>
      <c r="AA18" s="55"/>
      <c r="AB18" s="26"/>
      <c r="AC18" s="55"/>
      <c r="AD18" s="26"/>
      <c r="AE18" s="55"/>
      <c r="AF18" s="32"/>
      <c r="AG18" s="54"/>
      <c r="AH18" s="32"/>
      <c r="AI18" s="57"/>
      <c r="AJ18" s="29"/>
      <c r="AK18" s="29"/>
      <c r="AL18" s="29"/>
      <c r="AM18" s="29"/>
      <c r="AN18" s="29"/>
      <c r="AO18" s="29" t="s">
        <v>50</v>
      </c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3"/>
      <c r="BA18" s="3"/>
      <c r="BB18" s="3"/>
      <c r="BC18" s="3"/>
      <c r="BD18" s="3"/>
    </row>
    <row r="19" spans="1:56" ht="30" customHeight="1" thickBot="1" x14ac:dyDescent="0.3">
      <c r="A19" s="62" t="s">
        <v>14</v>
      </c>
      <c r="B19" s="15" t="s">
        <v>31</v>
      </c>
      <c r="C19" s="73">
        <f>H19+J19+(L19/10)+N19+P19+Q19+R19+S19+T19+U19+V19+X19+Z19+AB19+AD19+AF19+AH19+AI19</f>
        <v>4</v>
      </c>
      <c r="D19" s="74">
        <f t="shared" ref="D19" si="8">SUM(G19:AI20)-K19-L19-L20+(K19/10)+(L19/10)+(L20/10)</f>
        <v>4</v>
      </c>
      <c r="E19" s="6"/>
      <c r="F19" s="7"/>
      <c r="G19" s="53"/>
      <c r="H19" s="24"/>
      <c r="I19" s="52"/>
      <c r="J19" s="24">
        <v>1</v>
      </c>
      <c r="K19" s="52"/>
      <c r="L19" s="24"/>
      <c r="M19" s="52"/>
      <c r="N19" s="24"/>
      <c r="O19" s="52"/>
      <c r="P19" s="24"/>
      <c r="Q19" s="28"/>
      <c r="R19" s="27">
        <v>1</v>
      </c>
      <c r="S19" s="24"/>
      <c r="T19" s="28"/>
      <c r="U19" s="27"/>
      <c r="V19" s="28"/>
      <c r="W19" s="53"/>
      <c r="X19" s="28"/>
      <c r="Y19" s="53"/>
      <c r="Z19" s="24"/>
      <c r="AA19" s="52"/>
      <c r="AB19" s="24"/>
      <c r="AC19" s="52"/>
      <c r="AD19" s="24"/>
      <c r="AE19" s="52"/>
      <c r="AF19" s="28"/>
      <c r="AG19" s="53"/>
      <c r="AH19" s="28"/>
      <c r="AI19" s="38">
        <v>2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3"/>
      <c r="BA19" s="3"/>
      <c r="BB19" s="3"/>
      <c r="BC19" s="3"/>
      <c r="BD19" s="3"/>
    </row>
    <row r="20" spans="1:56" ht="30" customHeight="1" thickBot="1" x14ac:dyDescent="0.3">
      <c r="A20" s="63"/>
      <c r="B20" s="8"/>
      <c r="C20" s="73">
        <f t="shared" si="0"/>
        <v>0</v>
      </c>
      <c r="D20" s="75"/>
      <c r="E20" s="9"/>
      <c r="F20" s="10"/>
      <c r="G20" s="54"/>
      <c r="H20" s="26"/>
      <c r="I20" s="55"/>
      <c r="J20" s="26"/>
      <c r="K20" s="55"/>
      <c r="L20" s="26"/>
      <c r="M20" s="55"/>
      <c r="N20" s="26"/>
      <c r="O20" s="55"/>
      <c r="P20" s="26"/>
      <c r="Q20" s="32"/>
      <c r="R20" s="33"/>
      <c r="S20" s="26"/>
      <c r="T20" s="32"/>
      <c r="U20" s="33"/>
      <c r="V20" s="32"/>
      <c r="W20" s="54"/>
      <c r="X20" s="32"/>
      <c r="Y20" s="54"/>
      <c r="Z20" s="26"/>
      <c r="AA20" s="55"/>
      <c r="AB20" s="26"/>
      <c r="AC20" s="55"/>
      <c r="AD20" s="26"/>
      <c r="AE20" s="55"/>
      <c r="AF20" s="32"/>
      <c r="AG20" s="54"/>
      <c r="AH20" s="32"/>
      <c r="AI20" s="37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3"/>
      <c r="BA20" s="3"/>
      <c r="BB20" s="3"/>
      <c r="BC20" s="3"/>
      <c r="BD20" s="3"/>
    </row>
    <row r="21" spans="1:56" ht="30" customHeight="1" thickBot="1" x14ac:dyDescent="0.3">
      <c r="A21" s="62" t="s">
        <v>35</v>
      </c>
      <c r="B21" s="5" t="s">
        <v>36</v>
      </c>
      <c r="C21" s="73">
        <f t="shared" si="0"/>
        <v>1.1000000000000001</v>
      </c>
      <c r="D21" s="74">
        <f>SUM(G21:AI23)-K21-L21-L22-L23+(K21/10)+(L21/10)+(L22/10)+(L23/10)</f>
        <v>4.1999999999999993</v>
      </c>
      <c r="E21" s="7"/>
      <c r="F21" s="7"/>
      <c r="G21" s="53"/>
      <c r="H21" s="24"/>
      <c r="I21" s="52"/>
      <c r="J21" s="24">
        <v>0.1</v>
      </c>
      <c r="K21" s="52"/>
      <c r="L21" s="24"/>
      <c r="M21" s="52"/>
      <c r="N21" s="24"/>
      <c r="O21" s="52"/>
      <c r="P21" s="24">
        <v>0.5</v>
      </c>
      <c r="Q21" s="28"/>
      <c r="R21" s="27"/>
      <c r="S21" s="24"/>
      <c r="T21" s="28"/>
      <c r="U21" s="27"/>
      <c r="V21" s="28"/>
      <c r="W21" s="53"/>
      <c r="X21" s="28"/>
      <c r="Y21" s="53"/>
      <c r="Z21" s="24"/>
      <c r="AA21" s="52"/>
      <c r="AB21" s="24"/>
      <c r="AC21" s="52"/>
      <c r="AD21" s="24">
        <v>0.5</v>
      </c>
      <c r="AE21" s="52"/>
      <c r="AF21" s="28"/>
      <c r="AG21" s="53"/>
      <c r="AH21" s="28"/>
      <c r="AI21" s="36">
        <v>0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3"/>
      <c r="BA21" s="3"/>
      <c r="BB21" s="3"/>
      <c r="BC21" s="3"/>
      <c r="BD21" s="3"/>
    </row>
    <row r="22" spans="1:56" ht="30" customHeight="1" thickBot="1" x14ac:dyDescent="0.3">
      <c r="A22" s="64"/>
      <c r="B22" s="11" t="s">
        <v>37</v>
      </c>
      <c r="C22" s="73">
        <f t="shared" si="0"/>
        <v>0.1</v>
      </c>
      <c r="D22" s="76"/>
      <c r="E22" s="13"/>
      <c r="F22" s="13"/>
      <c r="G22" s="60"/>
      <c r="H22" s="25"/>
      <c r="I22" s="61"/>
      <c r="J22" s="25"/>
      <c r="K22" s="61"/>
      <c r="L22" s="25">
        <v>1</v>
      </c>
      <c r="M22" s="61"/>
      <c r="N22" s="25"/>
      <c r="O22" s="61"/>
      <c r="P22" s="25"/>
      <c r="Q22" s="30"/>
      <c r="R22" s="31"/>
      <c r="S22" s="25"/>
      <c r="T22" s="30"/>
      <c r="U22" s="31"/>
      <c r="V22" s="30"/>
      <c r="W22" s="60"/>
      <c r="X22" s="30"/>
      <c r="Y22" s="60"/>
      <c r="Z22" s="25"/>
      <c r="AA22" s="61"/>
      <c r="AB22" s="25"/>
      <c r="AC22" s="61"/>
      <c r="AD22" s="25"/>
      <c r="AE22" s="61"/>
      <c r="AF22" s="30"/>
      <c r="AG22" s="60"/>
      <c r="AH22" s="30"/>
      <c r="AI22" s="36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"/>
      <c r="BA22" s="3"/>
      <c r="BB22" s="3"/>
      <c r="BC22" s="3"/>
      <c r="BD22" s="3"/>
    </row>
    <row r="23" spans="1:56" ht="30" customHeight="1" thickBot="1" x14ac:dyDescent="0.3">
      <c r="A23" s="63"/>
      <c r="B23" s="8" t="s">
        <v>38</v>
      </c>
      <c r="C23" s="77">
        <f t="shared" si="0"/>
        <v>3</v>
      </c>
      <c r="D23" s="75"/>
      <c r="E23" s="10"/>
      <c r="F23" s="10"/>
      <c r="G23" s="54"/>
      <c r="H23" s="26">
        <v>1</v>
      </c>
      <c r="I23" s="55"/>
      <c r="J23" s="26"/>
      <c r="K23" s="55"/>
      <c r="L23" s="26"/>
      <c r="M23" s="55"/>
      <c r="N23" s="26"/>
      <c r="O23" s="55"/>
      <c r="P23" s="26">
        <v>1</v>
      </c>
      <c r="Q23" s="32"/>
      <c r="R23" s="33"/>
      <c r="S23" s="26"/>
      <c r="T23" s="32"/>
      <c r="U23" s="33"/>
      <c r="V23" s="32"/>
      <c r="W23" s="54"/>
      <c r="X23" s="32"/>
      <c r="Y23" s="54"/>
      <c r="Z23" s="26"/>
      <c r="AA23" s="55"/>
      <c r="AB23" s="26"/>
      <c r="AC23" s="55"/>
      <c r="AD23" s="26">
        <v>1</v>
      </c>
      <c r="AE23" s="55"/>
      <c r="AF23" s="32"/>
      <c r="AG23" s="54"/>
      <c r="AH23" s="32"/>
      <c r="AI23" s="37"/>
      <c r="AJ23" s="29"/>
      <c r="AK23" s="29"/>
      <c r="AL23" s="29"/>
      <c r="AM23" s="29"/>
      <c r="AN23" s="29"/>
      <c r="AO23" s="29" t="s">
        <v>53</v>
      </c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"/>
      <c r="BA23" s="3"/>
      <c r="BB23" s="3"/>
      <c r="BC23" s="3"/>
      <c r="BD23" s="3"/>
    </row>
    <row r="24" spans="1:56" ht="30" customHeight="1" thickBot="1" x14ac:dyDescent="0.3">
      <c r="A24" s="62" t="s">
        <v>47</v>
      </c>
      <c r="B24" s="5" t="s">
        <v>48</v>
      </c>
      <c r="C24" s="77">
        <f t="shared" si="0"/>
        <v>4</v>
      </c>
      <c r="D24" s="74">
        <f>SUM(G24:AI25)</f>
        <v>4</v>
      </c>
      <c r="E24" s="7"/>
      <c r="F24" s="7"/>
      <c r="G24" s="53"/>
      <c r="H24" s="44"/>
      <c r="I24" s="52"/>
      <c r="J24" s="44"/>
      <c r="K24" s="52"/>
      <c r="L24" s="44"/>
      <c r="M24" s="52"/>
      <c r="N24" s="44"/>
      <c r="O24" s="52"/>
      <c r="P24" s="44"/>
      <c r="Q24" s="28"/>
      <c r="R24" s="40">
        <v>2</v>
      </c>
      <c r="S24" s="44"/>
      <c r="T24" s="28"/>
      <c r="U24" s="40"/>
      <c r="V24" s="28"/>
      <c r="W24" s="53"/>
      <c r="X24" s="28"/>
      <c r="Y24" s="53"/>
      <c r="Z24" s="44"/>
      <c r="AA24" s="52"/>
      <c r="AB24" s="44"/>
      <c r="AC24" s="52"/>
      <c r="AD24" s="44">
        <v>2</v>
      </c>
      <c r="AE24" s="52"/>
      <c r="AF24" s="28"/>
      <c r="AG24" s="53"/>
      <c r="AH24" s="28"/>
      <c r="AI24" s="42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"/>
      <c r="BA24" s="3"/>
      <c r="BB24" s="3"/>
      <c r="BC24" s="3"/>
      <c r="BD24" s="3"/>
    </row>
    <row r="25" spans="1:56" ht="30" customHeight="1" thickBot="1" x14ac:dyDescent="0.3">
      <c r="A25" s="63"/>
      <c r="B25" s="8"/>
      <c r="C25" s="77">
        <f t="shared" si="0"/>
        <v>0</v>
      </c>
      <c r="D25" s="75"/>
      <c r="E25" s="10"/>
      <c r="F25" s="10"/>
      <c r="G25" s="54"/>
      <c r="H25" s="45"/>
      <c r="I25" s="55"/>
      <c r="J25" s="45"/>
      <c r="K25" s="55"/>
      <c r="L25" s="45"/>
      <c r="M25" s="55"/>
      <c r="N25" s="45"/>
      <c r="O25" s="55"/>
      <c r="P25" s="45"/>
      <c r="Q25" s="32"/>
      <c r="R25" s="41"/>
      <c r="S25" s="45"/>
      <c r="T25" s="32"/>
      <c r="U25" s="41"/>
      <c r="V25" s="32"/>
      <c r="W25" s="54"/>
      <c r="X25" s="32"/>
      <c r="Y25" s="54"/>
      <c r="Z25" s="45"/>
      <c r="AA25" s="55"/>
      <c r="AB25" s="45"/>
      <c r="AC25" s="55"/>
      <c r="AD25" s="45"/>
      <c r="AE25" s="55"/>
      <c r="AF25" s="32"/>
      <c r="AG25" s="54"/>
      <c r="AH25" s="32"/>
      <c r="AI25" s="43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"/>
      <c r="BA25" s="3"/>
      <c r="BB25" s="3"/>
      <c r="BC25" s="3"/>
      <c r="BD25" s="3"/>
    </row>
    <row r="26" spans="1:56" ht="30" customHeight="1" thickBot="1" x14ac:dyDescent="0.3">
      <c r="A26" s="62" t="s">
        <v>49</v>
      </c>
      <c r="B26" s="5"/>
      <c r="C26" s="77">
        <f t="shared" si="0"/>
        <v>3.6</v>
      </c>
      <c r="D26" s="74">
        <f>SUM(G26:AI27)</f>
        <v>4.5</v>
      </c>
      <c r="E26" s="7"/>
      <c r="F26" s="7"/>
      <c r="G26" s="53"/>
      <c r="H26" s="48"/>
      <c r="I26" s="52"/>
      <c r="J26" s="48"/>
      <c r="K26" s="52"/>
      <c r="L26" s="48">
        <v>1</v>
      </c>
      <c r="M26" s="52"/>
      <c r="N26" s="48"/>
      <c r="O26" s="52"/>
      <c r="P26" s="48"/>
      <c r="Q26" s="28"/>
      <c r="R26" s="46"/>
      <c r="S26" s="48"/>
      <c r="T26" s="28"/>
      <c r="U26" s="48"/>
      <c r="V26" s="48"/>
      <c r="W26" s="53"/>
      <c r="X26" s="28"/>
      <c r="Y26" s="53"/>
      <c r="Z26" s="48"/>
      <c r="AA26" s="52"/>
      <c r="AB26" s="48"/>
      <c r="AC26" s="52"/>
      <c r="AD26" s="48">
        <v>1</v>
      </c>
      <c r="AE26" s="52"/>
      <c r="AF26" s="48"/>
      <c r="AG26" s="53"/>
      <c r="AH26" s="28">
        <v>0.5</v>
      </c>
      <c r="AI26" s="28">
        <v>2</v>
      </c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3"/>
      <c r="BA26" s="3"/>
      <c r="BB26" s="3"/>
      <c r="BC26" s="3"/>
      <c r="BD26" s="3"/>
    </row>
    <row r="27" spans="1:56" ht="30" customHeight="1" thickBot="1" x14ac:dyDescent="0.3">
      <c r="A27" s="63"/>
      <c r="B27" s="8"/>
      <c r="C27" s="77">
        <f t="shared" si="0"/>
        <v>0</v>
      </c>
      <c r="D27" s="75"/>
      <c r="E27" s="10"/>
      <c r="F27" s="10"/>
      <c r="G27" s="54"/>
      <c r="H27" s="49"/>
      <c r="I27" s="55"/>
      <c r="J27" s="49"/>
      <c r="K27" s="55"/>
      <c r="L27" s="49"/>
      <c r="M27" s="55"/>
      <c r="N27" s="49"/>
      <c r="O27" s="55"/>
      <c r="P27" s="49"/>
      <c r="Q27" s="32"/>
      <c r="R27" s="47"/>
      <c r="S27" s="49"/>
      <c r="T27" s="32"/>
      <c r="U27" s="49"/>
      <c r="V27" s="49"/>
      <c r="W27" s="54"/>
      <c r="X27" s="32"/>
      <c r="Y27" s="54"/>
      <c r="Z27" s="49"/>
      <c r="AA27" s="55"/>
      <c r="AB27" s="49"/>
      <c r="AC27" s="55"/>
      <c r="AD27" s="49"/>
      <c r="AE27" s="55"/>
      <c r="AF27" s="49"/>
      <c r="AG27" s="54"/>
      <c r="AH27" s="32"/>
      <c r="AI27" s="32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3"/>
      <c r="BA27" s="3"/>
      <c r="BB27" s="3"/>
      <c r="BC27" s="3"/>
      <c r="BD27" s="3"/>
    </row>
    <row r="28" spans="1:56" ht="30" customHeight="1" x14ac:dyDescent="0.25">
      <c r="A28" s="62" t="s">
        <v>51</v>
      </c>
      <c r="B28" s="71" t="s">
        <v>54</v>
      </c>
      <c r="C28" s="73"/>
      <c r="D28" s="78">
        <f>SUM(G28:AI29)</f>
        <v>5</v>
      </c>
      <c r="G28" s="53"/>
      <c r="H28" s="48"/>
      <c r="I28" s="52"/>
      <c r="J28" s="48"/>
      <c r="K28" s="52"/>
      <c r="L28" s="48"/>
      <c r="M28" s="52"/>
      <c r="N28" s="48"/>
      <c r="O28" s="52"/>
      <c r="P28" s="48"/>
      <c r="Q28" s="28"/>
      <c r="R28" s="46"/>
      <c r="S28" s="48"/>
      <c r="T28" s="28"/>
      <c r="U28" s="46"/>
      <c r="V28" s="28"/>
      <c r="W28" s="53"/>
      <c r="X28" s="28"/>
      <c r="Y28" s="53"/>
      <c r="Z28" s="48"/>
      <c r="AA28" s="52"/>
      <c r="AB28" s="48"/>
      <c r="AC28" s="52"/>
      <c r="AD28" s="48">
        <v>3</v>
      </c>
      <c r="AE28" s="52"/>
      <c r="AF28" s="28"/>
      <c r="AG28" s="53"/>
      <c r="AH28" s="28"/>
      <c r="AI28" s="50">
        <v>2</v>
      </c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3"/>
      <c r="BA28" s="3"/>
      <c r="BB28" s="3"/>
      <c r="BC28" s="3"/>
      <c r="BD28" s="3"/>
    </row>
    <row r="29" spans="1:56" ht="30" customHeight="1" thickBot="1" x14ac:dyDescent="0.3">
      <c r="A29" s="63"/>
      <c r="B29" s="72"/>
      <c r="C29" s="79"/>
      <c r="D29" s="80"/>
      <c r="G29" s="54"/>
      <c r="H29" s="49"/>
      <c r="I29" s="55"/>
      <c r="J29" s="49"/>
      <c r="K29" s="55"/>
      <c r="L29" s="49"/>
      <c r="M29" s="55"/>
      <c r="N29" s="49"/>
      <c r="O29" s="55"/>
      <c r="P29" s="49"/>
      <c r="Q29" s="32"/>
      <c r="R29" s="47"/>
      <c r="S29" s="49"/>
      <c r="T29" s="32"/>
      <c r="U29" s="47"/>
      <c r="V29" s="32"/>
      <c r="W29" s="54"/>
      <c r="X29" s="32"/>
      <c r="Y29" s="54"/>
      <c r="Z29" s="49"/>
      <c r="AA29" s="55"/>
      <c r="AB29" s="49"/>
      <c r="AC29" s="55"/>
      <c r="AD29" s="49"/>
      <c r="AE29" s="55"/>
      <c r="AF29" s="32"/>
      <c r="AG29" s="54"/>
      <c r="AH29" s="32"/>
      <c r="AI29" s="51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3"/>
      <c r="BA29" s="3"/>
      <c r="BB29" s="3"/>
      <c r="BC29" s="3"/>
      <c r="BD29" s="3"/>
    </row>
    <row r="30" spans="1:56" ht="30" customHeight="1" x14ac:dyDescent="0.25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3"/>
      <c r="BA30" s="3"/>
      <c r="BB30" s="3"/>
      <c r="BC30" s="3"/>
      <c r="BD30" s="3"/>
    </row>
    <row r="31" spans="1:56" ht="30" customHeight="1" x14ac:dyDescent="0.25"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3"/>
      <c r="BA31" s="3"/>
      <c r="BB31" s="3"/>
      <c r="BC31" s="3"/>
      <c r="BD31" s="3"/>
    </row>
    <row r="100" spans="1:51" x14ac:dyDescent="0.25">
      <c r="A100" s="58" t="s">
        <v>40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</row>
    <row r="101" spans="1:51" x14ac:dyDescent="0.25">
      <c r="A101" t="s">
        <v>46</v>
      </c>
      <c r="B101" t="s">
        <v>41</v>
      </c>
      <c r="C101" s="58" t="s">
        <v>42</v>
      </c>
      <c r="D101" s="58"/>
      <c r="E101" s="58"/>
      <c r="F101" s="58"/>
    </row>
    <row r="102" spans="1:51" x14ac:dyDescent="0.25">
      <c r="A102">
        <f>C102/(1+((((B102+C102)/2)/C102)/0.9))</f>
        <v>3.2142857142857144</v>
      </c>
      <c r="B102" s="39">
        <f>MIN(D3:D23)</f>
        <v>0</v>
      </c>
      <c r="C102" s="59">
        <f>MAX(D3:D23)</f>
        <v>5</v>
      </c>
      <c r="D102" s="59"/>
      <c r="E102" s="59"/>
      <c r="F102" s="59"/>
    </row>
    <row r="104" spans="1:51" x14ac:dyDescent="0.25">
      <c r="A104">
        <f>C104/(1+((((B104+C104)/2)/C104)/0.8))</f>
        <v>3.0769230769230771</v>
      </c>
      <c r="B104" s="39">
        <f>MIN(C3:C23)</f>
        <v>0</v>
      </c>
      <c r="C104" s="59">
        <f>MAX(C3:C23)</f>
        <v>5</v>
      </c>
      <c r="D104" s="58"/>
      <c r="E104" s="58"/>
      <c r="F104" s="58"/>
    </row>
  </sheetData>
  <mergeCells count="192">
    <mergeCell ref="I26:I27"/>
    <mergeCell ref="I28:I29"/>
    <mergeCell ref="D26:D27"/>
    <mergeCell ref="A26:A27"/>
    <mergeCell ref="A28:A29"/>
    <mergeCell ref="D28:D29"/>
    <mergeCell ref="G26:G27"/>
    <mergeCell ref="G28:G29"/>
    <mergeCell ref="AG28:AG29"/>
    <mergeCell ref="AG26:AG27"/>
    <mergeCell ref="AE28:AE29"/>
    <mergeCell ref="AE26:AE27"/>
    <mergeCell ref="AA28:AA29"/>
    <mergeCell ref="AC28:AC29"/>
    <mergeCell ref="AC26:AC27"/>
    <mergeCell ref="AA26:AA27"/>
    <mergeCell ref="Y26:Y27"/>
    <mergeCell ref="Y28:Y29"/>
    <mergeCell ref="W28:W29"/>
    <mergeCell ref="W26:W27"/>
    <mergeCell ref="O28:O29"/>
    <mergeCell ref="O26:O27"/>
    <mergeCell ref="M26:M27"/>
    <mergeCell ref="M28:M29"/>
    <mergeCell ref="K28:K29"/>
    <mergeCell ref="K26:K27"/>
    <mergeCell ref="A19:A20"/>
    <mergeCell ref="C1:D1"/>
    <mergeCell ref="D3:D4"/>
    <mergeCell ref="D5:D6"/>
    <mergeCell ref="D7:D8"/>
    <mergeCell ref="D9:D10"/>
    <mergeCell ref="D11:D12"/>
    <mergeCell ref="D13:D14"/>
    <mergeCell ref="D15:D16"/>
    <mergeCell ref="D17:D18"/>
    <mergeCell ref="A7:A8"/>
    <mergeCell ref="A9:A10"/>
    <mergeCell ref="A11:A12"/>
    <mergeCell ref="A13:A14"/>
    <mergeCell ref="A15:A16"/>
    <mergeCell ref="A17:A18"/>
    <mergeCell ref="A3:A4"/>
    <mergeCell ref="A5:A6"/>
    <mergeCell ref="D19:D20"/>
    <mergeCell ref="E1:F1"/>
    <mergeCell ref="I2:J2"/>
    <mergeCell ref="G1:Q1"/>
    <mergeCell ref="G2:H2"/>
    <mergeCell ref="G9:G10"/>
    <mergeCell ref="G11:G12"/>
    <mergeCell ref="G13:G14"/>
    <mergeCell ref="G15:G16"/>
    <mergeCell ref="AA2:AB2"/>
    <mergeCell ref="Y9:Y10"/>
    <mergeCell ref="Y11:Y12"/>
    <mergeCell ref="Y13:Y14"/>
    <mergeCell ref="Y15:Y16"/>
    <mergeCell ref="AG1:AH1"/>
    <mergeCell ref="AG2:AH2"/>
    <mergeCell ref="G3:G4"/>
    <mergeCell ref="G5:G6"/>
    <mergeCell ref="G7:G8"/>
    <mergeCell ref="Y3:Y4"/>
    <mergeCell ref="Y5:Y6"/>
    <mergeCell ref="Y7:Y8"/>
    <mergeCell ref="AA3:AA4"/>
    <mergeCell ref="Y1:AF1"/>
    <mergeCell ref="U1:V1"/>
    <mergeCell ref="R1:T1"/>
    <mergeCell ref="W1:X1"/>
    <mergeCell ref="AE2:AF2"/>
    <mergeCell ref="AC2:AD2"/>
    <mergeCell ref="Y2:Z2"/>
    <mergeCell ref="AC7:AC8"/>
    <mergeCell ref="AG5:AG6"/>
    <mergeCell ref="AG3:AG4"/>
    <mergeCell ref="G17:G18"/>
    <mergeCell ref="G19:G20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AC19:AC20"/>
    <mergeCell ref="AC3:AC4"/>
    <mergeCell ref="AC5:AC6"/>
    <mergeCell ref="M7:M8"/>
    <mergeCell ref="AC9:AC10"/>
    <mergeCell ref="AC11:AC12"/>
    <mergeCell ref="AC13:AC14"/>
    <mergeCell ref="AC15:AC16"/>
    <mergeCell ref="AA5:AA6"/>
    <mergeCell ref="AA7:AA8"/>
    <mergeCell ref="AA9:AA10"/>
    <mergeCell ref="AA11:AA12"/>
    <mergeCell ref="AA13:AA14"/>
    <mergeCell ref="AA15:AA16"/>
    <mergeCell ref="Y17:Y18"/>
    <mergeCell ref="Y19:Y20"/>
    <mergeCell ref="O15:O16"/>
    <mergeCell ref="AE3:AE4"/>
    <mergeCell ref="AE5:AE6"/>
    <mergeCell ref="AE7:AE8"/>
    <mergeCell ref="AE9:AE10"/>
    <mergeCell ref="AE11:AE12"/>
    <mergeCell ref="AE13:AE14"/>
    <mergeCell ref="AE15:AE16"/>
    <mergeCell ref="AE17:AE18"/>
    <mergeCell ref="AA17:AA18"/>
    <mergeCell ref="M3:M4"/>
    <mergeCell ref="K2:L2"/>
    <mergeCell ref="M2:N2"/>
    <mergeCell ref="O2:P2"/>
    <mergeCell ref="O3:O4"/>
    <mergeCell ref="M5:M6"/>
    <mergeCell ref="O5:O6"/>
    <mergeCell ref="O7:O8"/>
    <mergeCell ref="AC17:AC18"/>
    <mergeCell ref="A21:A23"/>
    <mergeCell ref="W15:W16"/>
    <mergeCell ref="W13:W14"/>
    <mergeCell ref="W11:W12"/>
    <mergeCell ref="W9:W10"/>
    <mergeCell ref="O13:O14"/>
    <mergeCell ref="M13:M14"/>
    <mergeCell ref="M11:M12"/>
    <mergeCell ref="AG19:AG20"/>
    <mergeCell ref="AG17:AG18"/>
    <mergeCell ref="AG15:AG16"/>
    <mergeCell ref="AG13:AG14"/>
    <mergeCell ref="AG11:AG12"/>
    <mergeCell ref="O11:O12"/>
    <mergeCell ref="O9:O10"/>
    <mergeCell ref="M9:M10"/>
    <mergeCell ref="M19:M20"/>
    <mergeCell ref="O19:O20"/>
    <mergeCell ref="O17:O18"/>
    <mergeCell ref="M17:M18"/>
    <mergeCell ref="M15:M16"/>
    <mergeCell ref="G21:G23"/>
    <mergeCell ref="AE19:AE20"/>
    <mergeCell ref="AA19:AA20"/>
    <mergeCell ref="AI17:AI18"/>
    <mergeCell ref="A100:AY100"/>
    <mergeCell ref="C102:F102"/>
    <mergeCell ref="C101:F101"/>
    <mergeCell ref="C104:F104"/>
    <mergeCell ref="W7:W8"/>
    <mergeCell ref="W5:W6"/>
    <mergeCell ref="W3:W4"/>
    <mergeCell ref="AG21:AG23"/>
    <mergeCell ref="AE21:AE23"/>
    <mergeCell ref="AC21:AC23"/>
    <mergeCell ref="Y21:Y23"/>
    <mergeCell ref="AA21:AA23"/>
    <mergeCell ref="D21:D23"/>
    <mergeCell ref="W21:W23"/>
    <mergeCell ref="W19:W20"/>
    <mergeCell ref="W17:W18"/>
    <mergeCell ref="O21:O23"/>
    <mergeCell ref="M21:M23"/>
    <mergeCell ref="K21:K23"/>
    <mergeCell ref="I21:I23"/>
    <mergeCell ref="AG9:AG10"/>
    <mergeCell ref="AG7:AG8"/>
    <mergeCell ref="A24:A25"/>
    <mergeCell ref="D24:D25"/>
    <mergeCell ref="AG24:AG25"/>
    <mergeCell ref="AE24:AE25"/>
    <mergeCell ref="AC24:AC25"/>
    <mergeCell ref="AA24:AA25"/>
    <mergeCell ref="Y24:Y25"/>
    <mergeCell ref="W24:W25"/>
    <mergeCell ref="O24:O25"/>
    <mergeCell ref="M24:M25"/>
    <mergeCell ref="K24:K25"/>
    <mergeCell ref="I24:I25"/>
    <mergeCell ref="G24:G25"/>
  </mergeCells>
  <conditionalFormatting sqref="D3:D24 D26 D28">
    <cfRule type="colorScale" priority="2">
      <colorScale>
        <cfvo type="num" val="$B$102"/>
        <cfvo type="num" val="$A$102"/>
        <cfvo type="num" val="$C$102"/>
        <color rgb="FF00FF00"/>
        <color rgb="FFFFFF00"/>
        <color rgb="FFFF0000"/>
      </colorScale>
    </cfRule>
  </conditionalFormatting>
  <conditionalFormatting sqref="C3:C27">
    <cfRule type="colorScale" priority="1">
      <colorScale>
        <cfvo type="num" val="$B$104"/>
        <cfvo type="num" val="$A$104"/>
        <cfvo type="num" val="$C$104"/>
        <color rgb="FF00FF00"/>
        <color rgb="FFFFFF00"/>
        <color rgb="FFFF0000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Tomas_Vavrinec</dc:creator>
  <cp:lastModifiedBy>Tomas_Vavrinec</cp:lastModifiedBy>
  <dcterms:created xsi:type="dcterms:W3CDTF">2019-12-25T20:30:06Z</dcterms:created>
  <dcterms:modified xsi:type="dcterms:W3CDTF">2019-12-27T12:48:14Z</dcterms:modified>
</cp:coreProperties>
</file>